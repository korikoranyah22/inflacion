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iyur\Downloads\"/>
    </mc:Choice>
  </mc:AlternateContent>
  <xr:revisionPtr revIDLastSave="0" documentId="13_ncr:1_{9543FC4E-F50B-44AD-84BD-AABB5475446C}" xr6:coauthVersionLast="47" xr6:coauthVersionMax="47" xr10:uidLastSave="{00000000-0000-0000-0000-000000000000}"/>
  <bookViews>
    <workbookView xWindow="-21697" yWindow="-2805" windowWidth="21795" windowHeight="12975" activeTab="3" xr2:uid="{00000000-000D-0000-FFFF-FFFF00000000}"/>
  </bookViews>
  <sheets>
    <sheet name="6 meses" sheetId="1" r:id="rId1"/>
    <sheet name="12 meses" sheetId="2" r:id="rId2"/>
    <sheet name="18 meses" sheetId="3" r:id="rId3"/>
    <sheet name="24 mes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C4" i="1"/>
  <c r="C9" i="2"/>
  <c r="C4" i="2"/>
  <c r="C9" i="3"/>
  <c r="C4" i="3"/>
  <c r="C9" i="4"/>
  <c r="C4" i="4"/>
  <c r="F38" i="4"/>
  <c r="B15" i="4"/>
  <c r="E5" i="4"/>
  <c r="B8" i="4" s="1"/>
  <c r="E9" i="4" s="1"/>
  <c r="F32" i="3"/>
  <c r="B15" i="3"/>
  <c r="E5" i="3"/>
  <c r="B8" i="3" s="1"/>
  <c r="F26" i="2"/>
  <c r="B15" i="2"/>
  <c r="E5" i="2"/>
  <c r="B8" i="2" s="1"/>
  <c r="C20" i="2" s="1"/>
  <c r="F20" i="1"/>
  <c r="B15" i="1"/>
  <c r="E5" i="1"/>
  <c r="B8" i="1" s="1"/>
  <c r="E9" i="1" s="1"/>
  <c r="E9" i="2" l="1"/>
  <c r="D15" i="2"/>
  <c r="C22" i="2"/>
  <c r="C17" i="2"/>
  <c r="C24" i="2"/>
  <c r="C18" i="2"/>
  <c r="C25" i="2"/>
  <c r="C30" i="3"/>
  <c r="E9" i="3"/>
  <c r="D15" i="3"/>
  <c r="D15" i="4"/>
  <c r="C16" i="1"/>
  <c r="C19" i="1"/>
  <c r="C15" i="1"/>
  <c r="C18" i="1"/>
  <c r="C17" i="1"/>
  <c r="B9" i="1"/>
  <c r="B10" i="1" s="1"/>
  <c r="C20" i="1"/>
  <c r="C25" i="4"/>
  <c r="C28" i="4"/>
  <c r="C31" i="4"/>
  <c r="C15" i="4"/>
  <c r="E15" i="4" s="1"/>
  <c r="F15" i="4" s="1"/>
  <c r="B16" i="4" s="1"/>
  <c r="C37" i="4"/>
  <c r="C21" i="4"/>
  <c r="C34" i="4"/>
  <c r="C17" i="4"/>
  <c r="C38" i="4"/>
  <c r="C33" i="4"/>
  <c r="C29" i="4"/>
  <c r="C36" i="4"/>
  <c r="C32" i="4"/>
  <c r="C20" i="4"/>
  <c r="C23" i="4"/>
  <c r="C22" i="4"/>
  <c r="C18" i="4"/>
  <c r="C19" i="4"/>
  <c r="C26" i="4"/>
  <c r="C27" i="4"/>
  <c r="C35" i="4"/>
  <c r="C30" i="4"/>
  <c r="B9" i="4"/>
  <c r="B10" i="4" s="1"/>
  <c r="C24" i="4"/>
  <c r="C16" i="4"/>
  <c r="B9" i="3"/>
  <c r="B10" i="3" s="1"/>
  <c r="C29" i="3"/>
  <c r="C16" i="3"/>
  <c r="C21" i="3"/>
  <c r="C31" i="3"/>
  <c r="C15" i="3"/>
  <c r="E15" i="3" s="1"/>
  <c r="F15" i="3" s="1"/>
  <c r="B16" i="3" s="1"/>
  <c r="C27" i="3"/>
  <c r="C32" i="3"/>
  <c r="C24" i="3"/>
  <c r="C17" i="3"/>
  <c r="C28" i="3"/>
  <c r="C20" i="3"/>
  <c r="C23" i="3"/>
  <c r="C22" i="3"/>
  <c r="C18" i="3"/>
  <c r="C25" i="3"/>
  <c r="C15" i="2"/>
  <c r="E15" i="2" s="1"/>
  <c r="F15" i="2" s="1"/>
  <c r="B16" i="2" s="1"/>
  <c r="C23" i="2"/>
  <c r="C16" i="2"/>
  <c r="C26" i="2"/>
  <c r="C19" i="2"/>
  <c r="C21" i="2"/>
  <c r="C19" i="3"/>
  <c r="D15" i="1"/>
  <c r="B9" i="2"/>
  <c r="B10" i="2" s="1"/>
  <c r="C26" i="3"/>
  <c r="E15" i="1" l="1"/>
  <c r="F15" i="1" s="1"/>
  <c r="B16" i="1" s="1"/>
  <c r="D16" i="1" s="1"/>
  <c r="E16" i="1" s="1"/>
  <c r="F16" i="1" s="1"/>
  <c r="B17" i="1" s="1"/>
  <c r="D16" i="2"/>
  <c r="D16" i="4"/>
  <c r="E16" i="4" s="1"/>
  <c r="F16" i="4" s="1"/>
  <c r="B17" i="4" s="1"/>
  <c r="D16" i="3"/>
  <c r="E16" i="3" s="1"/>
  <c r="F16" i="3" s="1"/>
  <c r="B17" i="3" s="1"/>
  <c r="E16" i="2"/>
  <c r="F16" i="2" s="1"/>
  <c r="B17" i="2" s="1"/>
  <c r="D17" i="2" l="1"/>
  <c r="E17" i="2" s="1"/>
  <c r="F17" i="2" s="1"/>
  <c r="B18" i="2" s="1"/>
  <c r="D17" i="1"/>
  <c r="E17" i="1" s="1"/>
  <c r="F17" i="1" s="1"/>
  <c r="B18" i="1" s="1"/>
  <c r="D17" i="3"/>
  <c r="E17" i="3" s="1"/>
  <c r="F17" i="3" s="1"/>
  <c r="B18" i="3" s="1"/>
  <c r="D17" i="4"/>
  <c r="E17" i="4" s="1"/>
  <c r="F17" i="4" s="1"/>
  <c r="B18" i="4" s="1"/>
  <c r="D18" i="4" l="1"/>
  <c r="E18" i="4" s="1"/>
  <c r="F18" i="4" s="1"/>
  <c r="B19" i="4" s="1"/>
  <c r="D18" i="3"/>
  <c r="E18" i="3" s="1"/>
  <c r="F18" i="3" s="1"/>
  <c r="B19" i="3" s="1"/>
  <c r="D18" i="1"/>
  <c r="E18" i="1" s="1"/>
  <c r="F18" i="1" s="1"/>
  <c r="B19" i="1" s="1"/>
  <c r="D18" i="2"/>
  <c r="E18" i="2" s="1"/>
  <c r="F18" i="2" s="1"/>
  <c r="B19" i="2" s="1"/>
  <c r="D19" i="1" l="1"/>
  <c r="E19" i="1" s="1"/>
  <c r="F19" i="1" s="1"/>
  <c r="B20" i="1" s="1"/>
  <c r="D20" i="1" s="1"/>
  <c r="E20" i="1" s="1"/>
  <c r="D19" i="2"/>
  <c r="E19" i="2" s="1"/>
  <c r="F19" i="2" s="1"/>
  <c r="B20" i="2" s="1"/>
  <c r="D19" i="3"/>
  <c r="E19" i="3" s="1"/>
  <c r="F19" i="3" s="1"/>
  <c r="B20" i="3" s="1"/>
  <c r="D19" i="4"/>
  <c r="E19" i="4" s="1"/>
  <c r="F19" i="4" s="1"/>
  <c r="B20" i="4" s="1"/>
  <c r="D20" i="3" l="1"/>
  <c r="E20" i="3" s="1"/>
  <c r="F20" i="3"/>
  <c r="B21" i="3" s="1"/>
  <c r="D20" i="4"/>
  <c r="E20" i="4" s="1"/>
  <c r="F20" i="4" s="1"/>
  <c r="B21" i="4" s="1"/>
  <c r="D20" i="2"/>
  <c r="E20" i="2" s="1"/>
  <c r="F20" i="2" s="1"/>
  <c r="B21" i="2" s="1"/>
  <c r="D21" i="4" l="1"/>
  <c r="E21" i="4" s="1"/>
  <c r="F21" i="4" s="1"/>
  <c r="B22" i="4" s="1"/>
  <c r="D21" i="2"/>
  <c r="E21" i="2" s="1"/>
  <c r="F21" i="2" s="1"/>
  <c r="B22" i="2" s="1"/>
  <c r="D21" i="3"/>
  <c r="E21" i="3" s="1"/>
  <c r="F21" i="3" s="1"/>
  <c r="B22" i="3" s="1"/>
  <c r="D22" i="3" l="1"/>
  <c r="E22" i="3" s="1"/>
  <c r="F22" i="3" s="1"/>
  <c r="B23" i="3" s="1"/>
  <c r="D22" i="2"/>
  <c r="E22" i="2" s="1"/>
  <c r="F22" i="2" s="1"/>
  <c r="B23" i="2" s="1"/>
  <c r="D22" i="4"/>
  <c r="E22" i="4" s="1"/>
  <c r="F22" i="4"/>
  <c r="B23" i="4" s="1"/>
  <c r="D23" i="2" l="1"/>
  <c r="E23" i="2" s="1"/>
  <c r="F23" i="2" s="1"/>
  <c r="B24" i="2" s="1"/>
  <c r="D23" i="3"/>
  <c r="E23" i="3" s="1"/>
  <c r="F23" i="3" s="1"/>
  <c r="B24" i="3" s="1"/>
  <c r="D23" i="4"/>
  <c r="E23" i="4" s="1"/>
  <c r="F23" i="4"/>
  <c r="B24" i="4" s="1"/>
  <c r="D24" i="3" l="1"/>
  <c r="E24" i="3" s="1"/>
  <c r="F24" i="3" s="1"/>
  <c r="B25" i="3" s="1"/>
  <c r="D24" i="2"/>
  <c r="E24" i="2" s="1"/>
  <c r="F24" i="2" s="1"/>
  <c r="B25" i="2" s="1"/>
  <c r="D24" i="4"/>
  <c r="E24" i="4" s="1"/>
  <c r="F24" i="4" s="1"/>
  <c r="B25" i="4" s="1"/>
  <c r="D25" i="2" l="1"/>
  <c r="E25" i="2" s="1"/>
  <c r="F25" i="2" s="1"/>
  <c r="B26" i="2" s="1"/>
  <c r="D26" i="2" s="1"/>
  <c r="E26" i="2" s="1"/>
  <c r="D25" i="4"/>
  <c r="E25" i="4" s="1"/>
  <c r="F25" i="4" s="1"/>
  <c r="B26" i="4" s="1"/>
  <c r="D25" i="3"/>
  <c r="E25" i="3" s="1"/>
  <c r="F25" i="3" s="1"/>
  <c r="B26" i="3" s="1"/>
  <c r="D26" i="3" l="1"/>
  <c r="E26" i="3" s="1"/>
  <c r="F26" i="3"/>
  <c r="B27" i="3" s="1"/>
  <c r="D26" i="4"/>
  <c r="E26" i="4" s="1"/>
  <c r="F26" i="4" s="1"/>
  <c r="B27" i="4" s="1"/>
  <c r="D27" i="4" l="1"/>
  <c r="E27" i="4" s="1"/>
  <c r="F27" i="4" s="1"/>
  <c r="B28" i="4" s="1"/>
  <c r="D27" i="3"/>
  <c r="E27" i="3" s="1"/>
  <c r="F27" i="3"/>
  <c r="B28" i="3" s="1"/>
  <c r="D28" i="3" l="1"/>
  <c r="E28" i="3" s="1"/>
  <c r="F28" i="3" s="1"/>
  <c r="B29" i="3" s="1"/>
  <c r="D28" i="4"/>
  <c r="E28" i="4" s="1"/>
  <c r="F28" i="4" s="1"/>
  <c r="B29" i="4" s="1"/>
  <c r="D29" i="3" l="1"/>
  <c r="E29" i="3" s="1"/>
  <c r="F29" i="3" s="1"/>
  <c r="B30" i="3" s="1"/>
  <c r="D29" i="4"/>
  <c r="E29" i="4" s="1"/>
  <c r="F29" i="4" s="1"/>
  <c r="B30" i="4" s="1"/>
  <c r="D30" i="4" l="1"/>
  <c r="E30" i="4" s="1"/>
  <c r="F30" i="4" s="1"/>
  <c r="B31" i="4" s="1"/>
  <c r="D30" i="3"/>
  <c r="E30" i="3" s="1"/>
  <c r="F30" i="3" s="1"/>
  <c r="B31" i="3" s="1"/>
  <c r="D31" i="3" l="1"/>
  <c r="E31" i="3" s="1"/>
  <c r="F31" i="3" s="1"/>
  <c r="B32" i="3" s="1"/>
  <c r="D32" i="3" s="1"/>
  <c r="E32" i="3" s="1"/>
  <c r="D31" i="4"/>
  <c r="E31" i="4" s="1"/>
  <c r="F31" i="4"/>
  <c r="B32" i="4" s="1"/>
  <c r="D32" i="4" l="1"/>
  <c r="E32" i="4" s="1"/>
  <c r="F32" i="4" s="1"/>
  <c r="B33" i="4" s="1"/>
  <c r="D33" i="4" l="1"/>
  <c r="E33" i="4" s="1"/>
  <c r="F33" i="4" s="1"/>
  <c r="B34" i="4" s="1"/>
  <c r="D34" i="4" l="1"/>
  <c r="E34" i="4" s="1"/>
  <c r="F34" i="4" s="1"/>
  <c r="B35" i="4" s="1"/>
  <c r="D35" i="4" l="1"/>
  <c r="E35" i="4" s="1"/>
  <c r="F35" i="4" s="1"/>
  <c r="B36" i="4" s="1"/>
  <c r="D36" i="4" l="1"/>
  <c r="E36" i="4" s="1"/>
  <c r="F36" i="4" s="1"/>
  <c r="B37" i="4" s="1"/>
  <c r="D37" i="4" l="1"/>
  <c r="E37" i="4" s="1"/>
  <c r="F37" i="4" s="1"/>
  <c r="B38" i="4" s="1"/>
  <c r="D38" i="4" s="1"/>
  <c r="E38" i="4" s="1"/>
</calcChain>
</file>

<file path=xl/sharedStrings.xml><?xml version="1.0" encoding="utf-8"?>
<sst xmlns="http://schemas.openxmlformats.org/spreadsheetml/2006/main" count="89" uniqueCount="26">
  <si>
    <t>Préstamo con amortización francesa — 6 meses</t>
  </si>
  <si>
    <t>VERSIÓN TNA / TEA — ingresá la tasa ANUAL en B4</t>
  </si>
  <si>
    <t>Monto del préstamo ($)</t>
  </si>
  <si>
    <t>Tipo de tasa anual</t>
  </si>
  <si>
    <t>TNA</t>
  </si>
  <si>
    <t>Tasa de interés anual (%)</t>
  </si>
  <si>
    <t>Tasa mensual equivalente (%)</t>
  </si>
  <si>
    <t>Plazo (meses)</t>
  </si>
  <si>
    <t>Cuota mensual ($)</t>
  </si>
  <si>
    <t>Total pagado ($)</t>
  </si>
  <si>
    <t>Intereses totales ($)</t>
  </si>
  <si>
    <t>Editá B3 (monto), B4 (tasa anual) y E3 (TNA o TEA). E4 convierte automáticamente a tasa mensual.</t>
  </si>
  <si>
    <t>Cuota N°</t>
  </si>
  <si>
    <t>Saldo inicial ($)</t>
  </si>
  <si>
    <t>Cuota ($)</t>
  </si>
  <si>
    <t>Interés ($)</t>
  </si>
  <si>
    <t>Amortización ($)</t>
  </si>
  <si>
    <t>Saldo final ($)</t>
  </si>
  <si>
    <t>Préstamo con amortización francesa — 12 meses</t>
  </si>
  <si>
    <t>Préstamo con amortización francesa — 18 meses</t>
  </si>
  <si>
    <t>Préstamo con amortización francesa — 24 meses</t>
  </si>
  <si>
    <t>Cuota dolarizada</t>
  </si>
  <si>
    <t>Valor dólar</t>
  </si>
  <si>
    <t>Pesos</t>
  </si>
  <si>
    <t>Dólares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</si>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</sst>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[Red]\(\$#,##0.00\);\-"/>
    <numFmt numFmtId="165" formatCode="0.0000"/>
  </numFmts>
  <fonts count="8">
    <font>
      <sz val="11"/>
      <name val="Carlito"/>
    </font>
    <font>
      <b/>
      <sz val="16"/>
      <color rgb="FFFFFFFF"/>
      <name val="Carlito"/>
    </font>
    <font>
      <b/>
      <sz val="11"/>
      <color rgb="FF000000"/>
      <name val="Carlito"/>
    </font>
    <font>
      <b/>
      <sz val="11"/>
      <color rgb="FF0000FF"/>
      <name val="Carlito"/>
    </font>
    <font>
      <b/>
      <sz val="11"/>
      <name val="Carlito"/>
    </font>
    <font>
      <i/>
      <sz val="11"/>
      <color rgb="FF7F6000"/>
      <name val="Carlito"/>
    </font>
    <font>
      <b/>
      <sz val="11"/>
      <color rgb="FFFFFFFF"/>
      <name val="Carlito"/>
    </font>
    <font>
      <b/>
      <sz val="11"/>
      <color rgb="FF7F6000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A6A6A6"/>
      </bottom>
      <diagonal/>
    </border>
    <border>
      <left style="thin">
        <color rgb="FFD6B656"/>
      </left>
      <right style="thin">
        <color rgb="FFD6B656"/>
      </right>
      <top style="thin">
        <color rgb="FFD6B656"/>
      </top>
      <bottom/>
      <diagonal/>
    </border>
    <border>
      <left style="thin">
        <color rgb="FFD6B656"/>
      </left>
      <right style="thin">
        <color rgb="FFD6B656"/>
      </right>
      <top/>
      <bottom style="thin">
        <color rgb="FFD6B656"/>
      </bottom>
      <diagonal/>
    </border>
    <border>
      <left/>
      <right/>
      <top/>
      <bottom style="hair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0" xfId="0" applyFont="1" applyFill="1"/>
    <xf numFmtId="0" fontId="2" fillId="3" borderId="1" xfId="0" applyFont="1" applyFill="1" applyBorder="1"/>
    <xf numFmtId="0" fontId="4" fillId="6" borderId="0" xfId="0" applyFont="1" applyFill="1"/>
    <xf numFmtId="1" fontId="2" fillId="5" borderId="0" xfId="0" applyNumberFormat="1" applyFont="1" applyFill="1" applyAlignment="1">
      <alignment horizontal="right"/>
    </xf>
    <xf numFmtId="164" fontId="2" fillId="7" borderId="0" xfId="0" applyNumberFormat="1" applyFont="1" applyFill="1" applyAlignment="1">
      <alignment horizontal="right"/>
    </xf>
    <xf numFmtId="0" fontId="6" fillId="8" borderId="0" xfId="0" applyFont="1" applyFill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4" xfId="0" applyNumberFormat="1" applyBorder="1" applyAlignment="1">
      <alignment horizontal="center"/>
    </xf>
    <xf numFmtId="164" fontId="0" fillId="0" borderId="0" xfId="0" applyNumberFormat="1" applyAlignment="1">
      <alignment horizontal="right"/>
    </xf>
    <xf numFmtId="164" fontId="0" fillId="0" borderId="4" xfId="0" applyNumberFormat="1" applyBorder="1" applyAlignment="1">
      <alignment horizontal="right"/>
    </xf>
    <xf numFmtId="164" fontId="3" fillId="9" borderId="2" xfId="0" applyNumberFormat="1" applyFont="1" applyFill="1" applyBorder="1" applyAlignment="1">
      <alignment horizontal="right"/>
    </xf>
    <xf numFmtId="165" fontId="3" fillId="9" borderId="3" xfId="0" applyNumberFormat="1" applyFont="1" applyFill="1" applyBorder="1" applyAlignment="1">
      <alignment horizontal="right"/>
    </xf>
    <xf numFmtId="0" fontId="3" fillId="9" borderId="0" xfId="0" applyFont="1" applyFill="1"/>
    <xf numFmtId="165" fontId="2" fillId="10" borderId="0" xfId="0" applyNumberFormat="1" applyFont="1" applyFill="1"/>
    <xf numFmtId="0" fontId="1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wrapText="1"/>
    </xf>
    <xf numFmtId="0" fontId="7" fillId="9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0" fillId="11" borderId="0" xfId="0" applyFill="1"/>
  </cellXfs>
  <cellStyles count="1">
    <cellStyle name="Normal" xfId="0" builtinId="0"/>
  </cellStyles>
  <dxfs count="4">
    <dxf>
      <fill>
        <patternFill>
          <bgColor rgb="FFF7F9FC"/>
        </patternFill>
      </fill>
    </dxf>
    <dxf>
      <fill>
        <patternFill>
          <bgColor rgb="FFF7F9FC"/>
        </patternFill>
      </fill>
    </dxf>
    <dxf>
      <fill>
        <patternFill>
          <bgColor rgb="FFF7F9FC"/>
        </patternFill>
      </fill>
    </dxf>
    <dxf>
      <fill>
        <patternFill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selection activeCell="H27" sqref="H27"/>
    </sheetView>
  </sheetViews>
  <sheetFormatPr baseColWidth="10" defaultColWidth="9" defaultRowHeight="13.5"/>
  <cols>
    <col min="1" max="1" width="30" customWidth="1"/>
    <col min="2" max="3" width="18" customWidth="1"/>
    <col min="4" max="4" width="30" customWidth="1"/>
    <col min="5" max="6" width="18" customWidth="1"/>
  </cols>
  <sheetData>
    <row r="1" spans="1:6" ht="14" customHeight="1">
      <c r="A1" s="15" t="s">
        <v>0</v>
      </c>
      <c r="B1" s="15"/>
      <c r="C1" s="15"/>
      <c r="D1" s="15"/>
      <c r="E1" s="15"/>
      <c r="F1" s="15"/>
    </row>
    <row r="2" spans="1:6" ht="13.9">
      <c r="A2" s="17" t="s">
        <v>1</v>
      </c>
      <c r="B2" s="17"/>
      <c r="C2" s="17"/>
      <c r="D2" s="17"/>
      <c r="E2" s="17"/>
      <c r="F2" s="17"/>
    </row>
    <row r="3" spans="1:6" s="19" customFormat="1" ht="13.9">
      <c r="A3" s="18"/>
      <c r="B3" s="18" t="s">
        <v>23</v>
      </c>
      <c r="C3" s="18" t="s">
        <v>24</v>
      </c>
      <c r="D3" s="18"/>
      <c r="E3" s="18"/>
      <c r="F3" s="18"/>
    </row>
    <row r="4" spans="1:6" ht="13.9">
      <c r="A4" s="1" t="s">
        <v>2</v>
      </c>
      <c r="B4" s="11">
        <v>18208800</v>
      </c>
      <c r="C4" s="11">
        <f>B4/E8</f>
        <v>11901.176470588236</v>
      </c>
      <c r="D4" t="s">
        <v>3</v>
      </c>
      <c r="E4" s="13" t="s">
        <v>4</v>
      </c>
    </row>
    <row r="5" spans="1:6" ht="13.9">
      <c r="A5" s="1" t="s">
        <v>5</v>
      </c>
      <c r="B5" s="12">
        <v>10</v>
      </c>
      <c r="D5" t="s">
        <v>6</v>
      </c>
      <c r="E5" s="14">
        <f>IF(E4="TEA",((1+B5/100)^(1/12)-1)*100,B5/12)</f>
        <v>0.83333333333333337</v>
      </c>
    </row>
    <row r="6" spans="1:6" ht="13.9">
      <c r="A6" s="2" t="s">
        <v>7</v>
      </c>
      <c r="B6" s="4">
        <v>6</v>
      </c>
    </row>
    <row r="8" spans="1:6" ht="13.9">
      <c r="A8" s="3" t="s">
        <v>8</v>
      </c>
      <c r="B8" s="5">
        <f>IF(E5=0,B4/B6,B4*(E5/100)/(1-(1+E5/100)^(-B6)))</f>
        <v>3123927.1144466186</v>
      </c>
      <c r="D8" s="3" t="s">
        <v>22</v>
      </c>
      <c r="E8" s="5">
        <v>1530</v>
      </c>
    </row>
    <row r="9" spans="1:6" ht="13.9">
      <c r="A9" s="3" t="s">
        <v>9</v>
      </c>
      <c r="B9" s="5">
        <f>B8*B6</f>
        <v>18743562.686679713</v>
      </c>
      <c r="C9" s="11">
        <f>B9/E8</f>
        <v>12250.694566457329</v>
      </c>
      <c r="D9" s="3" t="s">
        <v>21</v>
      </c>
      <c r="E9" s="5">
        <f>B8/E8</f>
        <v>2041.7824277428879</v>
      </c>
    </row>
    <row r="10" spans="1:6" ht="13.9">
      <c r="A10" s="3" t="s">
        <v>10</v>
      </c>
      <c r="B10" s="5">
        <f>B9-B4</f>
        <v>534762.68667971343</v>
      </c>
    </row>
    <row r="12" spans="1:6" ht="16.05" customHeight="1">
      <c r="A12" s="16" t="s">
        <v>11</v>
      </c>
      <c r="B12" s="16"/>
      <c r="C12" s="16"/>
      <c r="D12" s="16"/>
      <c r="E12" s="16"/>
      <c r="F12" s="16"/>
    </row>
    <row r="14" spans="1:6" ht="12" customHeight="1">
      <c r="A14" s="6" t="s">
        <v>12</v>
      </c>
      <c r="B14" s="6" t="s">
        <v>13</v>
      </c>
      <c r="C14" s="6" t="s">
        <v>14</v>
      </c>
      <c r="D14" s="6" t="s">
        <v>15</v>
      </c>
      <c r="E14" s="6" t="s">
        <v>16</v>
      </c>
      <c r="F14" s="6" t="s">
        <v>17</v>
      </c>
    </row>
    <row r="15" spans="1:6">
      <c r="A15" s="7">
        <v>1</v>
      </c>
      <c r="B15" s="9">
        <f>$B$4</f>
        <v>18208800</v>
      </c>
      <c r="C15" s="9">
        <f t="shared" ref="C15:C20" si="0">$B$8</f>
        <v>3123927.1144466186</v>
      </c>
      <c r="D15" s="9">
        <f t="shared" ref="D15:D20" si="1">B15*($E$5/100)</f>
        <v>151740</v>
      </c>
      <c r="E15" s="9">
        <f t="shared" ref="E15:E20" si="2">C15-D15</f>
        <v>2972187.1144466186</v>
      </c>
      <c r="F15" s="9">
        <f t="shared" ref="F15:F20" si="3">IF(A15=$B$6,0,MAX(0,B15-E15))</f>
        <v>15236612.885553382</v>
      </c>
    </row>
    <row r="16" spans="1:6">
      <c r="A16" s="7">
        <v>2</v>
      </c>
      <c r="B16" s="9">
        <f>F15</f>
        <v>15236612.885553382</v>
      </c>
      <c r="C16" s="9">
        <f t="shared" si="0"/>
        <v>3123927.1144466186</v>
      </c>
      <c r="D16" s="9">
        <f t="shared" si="1"/>
        <v>126971.77404627818</v>
      </c>
      <c r="E16" s="9">
        <f t="shared" si="2"/>
        <v>2996955.3404003405</v>
      </c>
      <c r="F16" s="9">
        <f t="shared" si="3"/>
        <v>12239657.545153042</v>
      </c>
    </row>
    <row r="17" spans="1:6">
      <c r="A17" s="7">
        <v>3</v>
      </c>
      <c r="B17" s="9">
        <f>F16</f>
        <v>12239657.545153042</v>
      </c>
      <c r="C17" s="9">
        <f t="shared" si="0"/>
        <v>3123927.1144466186</v>
      </c>
      <c r="D17" s="9">
        <f t="shared" si="1"/>
        <v>101997.14620960869</v>
      </c>
      <c r="E17" s="9">
        <f t="shared" si="2"/>
        <v>3021929.9682370098</v>
      </c>
      <c r="F17" s="9">
        <f t="shared" si="3"/>
        <v>9217727.5769160315</v>
      </c>
    </row>
    <row r="18" spans="1:6">
      <c r="A18" s="7">
        <v>4</v>
      </c>
      <c r="B18" s="9">
        <f>F17</f>
        <v>9217727.5769160315</v>
      </c>
      <c r="C18" s="9">
        <f t="shared" si="0"/>
        <v>3123927.1144466186</v>
      </c>
      <c r="D18" s="9">
        <f t="shared" si="1"/>
        <v>76814.396474300258</v>
      </c>
      <c r="E18" s="9">
        <f t="shared" si="2"/>
        <v>3047112.7179723182</v>
      </c>
      <c r="F18" s="9">
        <f t="shared" si="3"/>
        <v>6170614.8589437138</v>
      </c>
    </row>
    <row r="19" spans="1:6">
      <c r="A19" s="7">
        <v>5</v>
      </c>
      <c r="B19" s="9">
        <f>F18</f>
        <v>6170614.8589437138</v>
      </c>
      <c r="C19" s="9">
        <f t="shared" si="0"/>
        <v>3123927.1144466186</v>
      </c>
      <c r="D19" s="9">
        <f t="shared" si="1"/>
        <v>51421.790491197615</v>
      </c>
      <c r="E19" s="9">
        <f t="shared" si="2"/>
        <v>3072505.3239554209</v>
      </c>
      <c r="F19" s="9">
        <f t="shared" si="3"/>
        <v>3098109.534988293</v>
      </c>
    </row>
    <row r="20" spans="1:6">
      <c r="A20" s="8">
        <v>6</v>
      </c>
      <c r="B20" s="10">
        <f>F19</f>
        <v>3098109.534988293</v>
      </c>
      <c r="C20" s="10">
        <f t="shared" si="0"/>
        <v>3123927.1144466186</v>
      </c>
      <c r="D20" s="10">
        <f t="shared" si="1"/>
        <v>25817.579458235774</v>
      </c>
      <c r="E20" s="10">
        <f t="shared" si="2"/>
        <v>3098109.5349883828</v>
      </c>
      <c r="F20" s="10">
        <f t="shared" si="3"/>
        <v>0</v>
      </c>
    </row>
  </sheetData>
  <mergeCells count="3">
    <mergeCell ref="A1:F1"/>
    <mergeCell ref="A12:F12"/>
    <mergeCell ref="A2:F2"/>
  </mergeCells>
  <conditionalFormatting sqref="A15:F20">
    <cfRule type="expression" dxfId="3" priority="1">
      <formula>MOD($A15,2)=0</formula>
    </cfRule>
  </conditionalFormatting>
  <dataValidations count="1">
    <dataValidation type="list" sqref="E4" xr:uid="{00000000-0002-0000-0000-000000000000}">
      <formula1>"TNA,TEA"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A3" sqref="A3:XFD3"/>
    </sheetView>
  </sheetViews>
  <sheetFormatPr baseColWidth="10" defaultColWidth="9" defaultRowHeight="13.5"/>
  <cols>
    <col min="1" max="1" width="30" customWidth="1"/>
    <col min="2" max="3" width="18" customWidth="1"/>
    <col min="4" max="4" width="30" customWidth="1"/>
    <col min="5" max="6" width="18" customWidth="1"/>
  </cols>
  <sheetData>
    <row r="1" spans="1:6" ht="14" customHeight="1">
      <c r="A1" s="15" t="s">
        <v>18</v>
      </c>
      <c r="B1" s="15"/>
      <c r="C1" s="15"/>
      <c r="D1" s="15"/>
      <c r="E1" s="15"/>
      <c r="F1" s="15"/>
    </row>
    <row r="2" spans="1:6" ht="13.9">
      <c r="A2" s="17" t="s">
        <v>1</v>
      </c>
      <c r="B2" s="17"/>
      <c r="C2" s="17"/>
      <c r="D2" s="17"/>
      <c r="E2" s="17"/>
      <c r="F2" s="17"/>
    </row>
    <row r="3" spans="1:6" s="19" customFormat="1" ht="13.9">
      <c r="A3" s="18"/>
      <c r="B3" s="18" t="s">
        <v>23</v>
      </c>
      <c r="C3" s="18" t="s">
        <v>24</v>
      </c>
      <c r="D3" s="18"/>
      <c r="E3" s="18"/>
      <c r="F3" s="18"/>
    </row>
    <row r="4" spans="1:6" ht="13.9">
      <c r="A4" s="1" t="s">
        <v>2</v>
      </c>
      <c r="B4" s="11">
        <v>18208800</v>
      </c>
      <c r="C4" s="11">
        <f>B4/E8</f>
        <v>11901.176470588236</v>
      </c>
      <c r="D4" t="s">
        <v>3</v>
      </c>
      <c r="E4" s="13" t="s">
        <v>4</v>
      </c>
    </row>
    <row r="5" spans="1:6" ht="13.9">
      <c r="A5" s="1" t="s">
        <v>5</v>
      </c>
      <c r="B5" s="12">
        <v>10</v>
      </c>
      <c r="D5" t="s">
        <v>6</v>
      </c>
      <c r="E5" s="14">
        <f>IF(E4="TEA",((1+B5/100)^(1/12)-1)*100,B5/12)</f>
        <v>0.83333333333333337</v>
      </c>
    </row>
    <row r="6" spans="1:6" ht="13.9">
      <c r="A6" s="2" t="s">
        <v>7</v>
      </c>
      <c r="B6" s="4">
        <v>12</v>
      </c>
    </row>
    <row r="8" spans="1:6" ht="13.9">
      <c r="A8" s="3" t="s">
        <v>8</v>
      </c>
      <c r="B8" s="5">
        <f>IF(E5=0,B4/B6,B4*(E5/100)/(1-(1+E5/100)^(-B6)))</f>
        <v>1600842.8073938037</v>
      </c>
      <c r="D8" s="3" t="s">
        <v>22</v>
      </c>
      <c r="E8" s="5">
        <v>1530</v>
      </c>
    </row>
    <row r="9" spans="1:6" ht="13.9">
      <c r="A9" s="3" t="s">
        <v>9</v>
      </c>
      <c r="B9" s="5">
        <f>B8*B6</f>
        <v>19210113.688725643</v>
      </c>
      <c r="C9" s="11">
        <f>B9/E8</f>
        <v>12555.629861912184</v>
      </c>
      <c r="D9" s="3" t="s">
        <v>21</v>
      </c>
      <c r="E9" s="5">
        <f>B8/E8</f>
        <v>1046.3024884926822</v>
      </c>
    </row>
    <row r="10" spans="1:6" ht="13.9">
      <c r="A10" s="3" t="s">
        <v>10</v>
      </c>
      <c r="B10" s="5">
        <f>B9-B4</f>
        <v>1001313.6887256429</v>
      </c>
    </row>
    <row r="12" spans="1:6" ht="16.05" customHeight="1">
      <c r="A12" s="16" t="s">
        <v>11</v>
      </c>
      <c r="B12" s="16"/>
      <c r="C12" s="16"/>
      <c r="D12" s="16"/>
      <c r="E12" s="16"/>
      <c r="F12" s="16"/>
    </row>
    <row r="14" spans="1:6" ht="12" customHeight="1">
      <c r="A14" s="6" t="s">
        <v>12</v>
      </c>
      <c r="B14" s="6" t="s">
        <v>13</v>
      </c>
      <c r="C14" s="6" t="s">
        <v>14</v>
      </c>
      <c r="D14" s="6" t="s">
        <v>15</v>
      </c>
      <c r="E14" s="6" t="s">
        <v>16</v>
      </c>
      <c r="F14" s="6" t="s">
        <v>17</v>
      </c>
    </row>
    <row r="15" spans="1:6">
      <c r="A15" s="7">
        <v>1</v>
      </c>
      <c r="B15" s="9">
        <f>$B$4</f>
        <v>18208800</v>
      </c>
      <c r="C15" s="9">
        <f t="shared" ref="C15:C26" si="0">$B$8</f>
        <v>1600842.8073938037</v>
      </c>
      <c r="D15" s="9">
        <f t="shared" ref="D15:D26" si="1">B15*($E$5/100)</f>
        <v>151740</v>
      </c>
      <c r="E15" s="9">
        <f t="shared" ref="E15:E26" si="2">C15-D15</f>
        <v>1449102.8073938037</v>
      </c>
      <c r="F15" s="9">
        <f t="shared" ref="F15:F26" si="3">IF(A15=$B$6,0,MAX(0,B15-E15))</f>
        <v>16759697.192606196</v>
      </c>
    </row>
    <row r="16" spans="1:6">
      <c r="A16" s="7">
        <v>2</v>
      </c>
      <c r="B16" s="9">
        <f t="shared" ref="B16:B26" si="4">F15</f>
        <v>16759697.192606196</v>
      </c>
      <c r="C16" s="9">
        <f t="shared" si="0"/>
        <v>1600842.8073938037</v>
      </c>
      <c r="D16" s="9">
        <f t="shared" si="1"/>
        <v>139664.14327171829</v>
      </c>
      <c r="E16" s="9">
        <f t="shared" si="2"/>
        <v>1461178.6641220856</v>
      </c>
      <c r="F16" s="9">
        <f t="shared" si="3"/>
        <v>15298518.52848411</v>
      </c>
    </row>
    <row r="17" spans="1:6">
      <c r="A17" s="7">
        <v>3</v>
      </c>
      <c r="B17" s="9">
        <f t="shared" si="4"/>
        <v>15298518.52848411</v>
      </c>
      <c r="C17" s="9">
        <f t="shared" si="0"/>
        <v>1600842.8073938037</v>
      </c>
      <c r="D17" s="9">
        <f t="shared" si="1"/>
        <v>127487.65440403424</v>
      </c>
      <c r="E17" s="9">
        <f t="shared" si="2"/>
        <v>1473355.1529897696</v>
      </c>
      <c r="F17" s="9">
        <f t="shared" si="3"/>
        <v>13825163.37549434</v>
      </c>
    </row>
    <row r="18" spans="1:6">
      <c r="A18" s="7">
        <v>4</v>
      </c>
      <c r="B18" s="9">
        <f t="shared" si="4"/>
        <v>13825163.37549434</v>
      </c>
      <c r="C18" s="9">
        <f t="shared" si="0"/>
        <v>1600842.8073938037</v>
      </c>
      <c r="D18" s="9">
        <f t="shared" si="1"/>
        <v>115209.69479578617</v>
      </c>
      <c r="E18" s="9">
        <f t="shared" si="2"/>
        <v>1485633.1125980176</v>
      </c>
      <c r="F18" s="9">
        <f t="shared" si="3"/>
        <v>12339530.262896324</v>
      </c>
    </row>
    <row r="19" spans="1:6">
      <c r="A19" s="7">
        <v>5</v>
      </c>
      <c r="B19" s="9">
        <f t="shared" si="4"/>
        <v>12339530.262896324</v>
      </c>
      <c r="C19" s="9">
        <f t="shared" si="0"/>
        <v>1600842.8073938037</v>
      </c>
      <c r="D19" s="9">
        <f t="shared" si="1"/>
        <v>102829.41885746937</v>
      </c>
      <c r="E19" s="9">
        <f t="shared" si="2"/>
        <v>1498013.3885363343</v>
      </c>
      <c r="F19" s="9">
        <f t="shared" si="3"/>
        <v>10841516.87435999</v>
      </c>
    </row>
    <row r="20" spans="1:6">
      <c r="A20" s="7">
        <v>6</v>
      </c>
      <c r="B20" s="9">
        <f t="shared" si="4"/>
        <v>10841516.87435999</v>
      </c>
      <c r="C20" s="9">
        <f t="shared" si="0"/>
        <v>1600842.8073938037</v>
      </c>
      <c r="D20" s="9">
        <f t="shared" si="1"/>
        <v>90345.973952999906</v>
      </c>
      <c r="E20" s="9">
        <f t="shared" si="2"/>
        <v>1510496.8334408039</v>
      </c>
      <c r="F20" s="9">
        <f t="shared" si="3"/>
        <v>9331020.0409191847</v>
      </c>
    </row>
    <row r="21" spans="1:6">
      <c r="A21" s="7">
        <v>7</v>
      </c>
      <c r="B21" s="9">
        <f t="shared" si="4"/>
        <v>9331020.0409191847</v>
      </c>
      <c r="C21" s="9">
        <f t="shared" si="0"/>
        <v>1600842.8073938037</v>
      </c>
      <c r="D21" s="9">
        <f t="shared" si="1"/>
        <v>77758.500340993211</v>
      </c>
      <c r="E21" s="9">
        <f t="shared" si="2"/>
        <v>1523084.3070528104</v>
      </c>
      <c r="F21" s="9">
        <f t="shared" si="3"/>
        <v>7807935.733866374</v>
      </c>
    </row>
    <row r="22" spans="1:6">
      <c r="A22" s="7">
        <v>8</v>
      </c>
      <c r="B22" s="9">
        <f t="shared" si="4"/>
        <v>7807935.733866374</v>
      </c>
      <c r="C22" s="9">
        <f t="shared" si="0"/>
        <v>1600842.8073938037</v>
      </c>
      <c r="D22" s="9">
        <f t="shared" si="1"/>
        <v>65066.131115553115</v>
      </c>
      <c r="E22" s="9">
        <f t="shared" si="2"/>
        <v>1535776.6762782505</v>
      </c>
      <c r="F22" s="9">
        <f t="shared" si="3"/>
        <v>6272159.0575881237</v>
      </c>
    </row>
    <row r="23" spans="1:6">
      <c r="A23" s="7">
        <v>9</v>
      </c>
      <c r="B23" s="9">
        <f t="shared" si="4"/>
        <v>6272159.0575881237</v>
      </c>
      <c r="C23" s="9">
        <f t="shared" si="0"/>
        <v>1600842.8073938037</v>
      </c>
      <c r="D23" s="9">
        <f t="shared" si="1"/>
        <v>52267.992146567696</v>
      </c>
      <c r="E23" s="9">
        <f t="shared" si="2"/>
        <v>1548574.8152472361</v>
      </c>
      <c r="F23" s="9">
        <f t="shared" si="3"/>
        <v>4723584.2423408879</v>
      </c>
    </row>
    <row r="24" spans="1:6">
      <c r="A24" s="7">
        <v>10</v>
      </c>
      <c r="B24" s="9">
        <f t="shared" si="4"/>
        <v>4723584.2423408879</v>
      </c>
      <c r="C24" s="9">
        <f t="shared" si="0"/>
        <v>1600842.8073938037</v>
      </c>
      <c r="D24" s="9">
        <f t="shared" si="1"/>
        <v>39363.2020195074</v>
      </c>
      <c r="E24" s="9">
        <f t="shared" si="2"/>
        <v>1561479.6053742964</v>
      </c>
      <c r="F24" s="9">
        <f t="shared" si="3"/>
        <v>3162104.6369665917</v>
      </c>
    </row>
    <row r="25" spans="1:6">
      <c r="A25" s="7">
        <v>11</v>
      </c>
      <c r="B25" s="9">
        <f t="shared" si="4"/>
        <v>3162104.6369665917</v>
      </c>
      <c r="C25" s="9">
        <f t="shared" si="0"/>
        <v>1600842.8073938037</v>
      </c>
      <c r="D25" s="9">
        <f t="shared" si="1"/>
        <v>26350.871974721598</v>
      </c>
      <c r="E25" s="9">
        <f t="shared" si="2"/>
        <v>1574491.9354190822</v>
      </c>
      <c r="F25" s="9">
        <f t="shared" si="3"/>
        <v>1587612.7015475095</v>
      </c>
    </row>
    <row r="26" spans="1:6">
      <c r="A26" s="8">
        <v>12</v>
      </c>
      <c r="B26" s="10">
        <f t="shared" si="4"/>
        <v>1587612.7015475095</v>
      </c>
      <c r="C26" s="10">
        <f t="shared" si="0"/>
        <v>1600842.8073938037</v>
      </c>
      <c r="D26" s="10">
        <f t="shared" si="1"/>
        <v>13230.105846229246</v>
      </c>
      <c r="E26" s="10">
        <f t="shared" si="2"/>
        <v>1587612.7015475745</v>
      </c>
      <c r="F26" s="10">
        <f t="shared" si="3"/>
        <v>0</v>
      </c>
    </row>
  </sheetData>
  <mergeCells count="3">
    <mergeCell ref="A1:F1"/>
    <mergeCell ref="A12:F12"/>
    <mergeCell ref="A2:F2"/>
  </mergeCells>
  <conditionalFormatting sqref="A15:F26">
    <cfRule type="expression" dxfId="2" priority="1">
      <formula>MOD($A15,2)=0</formula>
    </cfRule>
  </conditionalFormatting>
  <dataValidations count="1">
    <dataValidation type="list" sqref="E4" xr:uid="{00000000-0002-0000-0100-000000000000}">
      <formula1>"TNA,TEA"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2"/>
  <sheetViews>
    <sheetView workbookViewId="0">
      <selection activeCell="C3" sqref="B3:C3"/>
    </sheetView>
  </sheetViews>
  <sheetFormatPr baseColWidth="10" defaultColWidth="9" defaultRowHeight="13.5"/>
  <cols>
    <col min="1" max="1" width="30" customWidth="1"/>
    <col min="2" max="3" width="18" customWidth="1"/>
    <col min="4" max="4" width="30" customWidth="1"/>
    <col min="5" max="6" width="18" customWidth="1"/>
  </cols>
  <sheetData>
    <row r="1" spans="1:6" ht="14" customHeight="1">
      <c r="A1" s="15" t="s">
        <v>19</v>
      </c>
      <c r="B1" s="15"/>
      <c r="C1" s="15"/>
      <c r="D1" s="15"/>
      <c r="E1" s="15"/>
      <c r="F1" s="15"/>
    </row>
    <row r="2" spans="1:6" ht="13.9">
      <c r="A2" s="17" t="s">
        <v>1</v>
      </c>
      <c r="B2" s="17"/>
      <c r="C2" s="17"/>
      <c r="D2" s="17"/>
      <c r="E2" s="17"/>
      <c r="F2" s="17"/>
    </row>
    <row r="3" spans="1:6" s="19" customFormat="1" ht="13.9">
      <c r="A3" s="18"/>
      <c r="B3" s="18" t="s">
        <v>23</v>
      </c>
      <c r="C3" s="18" t="s">
        <v>24</v>
      </c>
      <c r="D3" s="18"/>
      <c r="E3" s="18"/>
      <c r="F3" s="18"/>
    </row>
    <row r="4" spans="1:6" ht="13.9">
      <c r="A4" s="1" t="s">
        <v>2</v>
      </c>
      <c r="B4" s="11">
        <v>18208800</v>
      </c>
      <c r="C4" s="11">
        <f>B4/E8</f>
        <v>11901.176470588236</v>
      </c>
      <c r="D4" t="s">
        <v>3</v>
      </c>
      <c r="E4" s="13" t="s">
        <v>4</v>
      </c>
    </row>
    <row r="5" spans="1:6" ht="13.9">
      <c r="A5" s="1" t="s">
        <v>5</v>
      </c>
      <c r="B5" s="12">
        <v>10</v>
      </c>
      <c r="D5" t="s">
        <v>6</v>
      </c>
      <c r="E5" s="14">
        <f>IF(E4="TEA",((1+B5/100)^(1/12)-1)*100,B5/12)</f>
        <v>0.83333333333333337</v>
      </c>
    </row>
    <row r="6" spans="1:6" ht="13.9">
      <c r="A6" s="2" t="s">
        <v>7</v>
      </c>
      <c r="B6" s="4">
        <v>18</v>
      </c>
    </row>
    <row r="8" spans="1:6" ht="13.9">
      <c r="A8" s="3" t="s">
        <v>8</v>
      </c>
      <c r="B8" s="5">
        <f>IF(E5=0,B4/B6,B4*(E5/100)/(1-(1+E5/100)^(-B6)))</f>
        <v>1093567.3585034679</v>
      </c>
      <c r="D8" s="3" t="s">
        <v>22</v>
      </c>
      <c r="E8" s="5">
        <v>1530</v>
      </c>
    </row>
    <row r="9" spans="1:6" ht="13.9">
      <c r="A9" s="3" t="s">
        <v>9</v>
      </c>
      <c r="B9" s="5">
        <f>B8*B6</f>
        <v>19684212.453062423</v>
      </c>
      <c r="C9" s="11">
        <f>B9/E8</f>
        <v>12865.498335334916</v>
      </c>
      <c r="D9" s="3" t="s">
        <v>21</v>
      </c>
      <c r="E9" s="5">
        <f>B8/E8</f>
        <v>714.74990751860651</v>
      </c>
    </row>
    <row r="10" spans="1:6" ht="13.9">
      <c r="A10" s="3" t="s">
        <v>10</v>
      </c>
      <c r="B10" s="5">
        <f>B9-B4</f>
        <v>1475412.4530624226</v>
      </c>
    </row>
    <row r="12" spans="1:6" ht="16.05" customHeight="1">
      <c r="A12" s="16" t="s">
        <v>11</v>
      </c>
      <c r="B12" s="16"/>
      <c r="C12" s="16"/>
      <c r="D12" s="16"/>
      <c r="E12" s="16"/>
      <c r="F12" s="16"/>
    </row>
    <row r="14" spans="1:6" ht="12" customHeight="1">
      <c r="A14" s="6" t="s">
        <v>12</v>
      </c>
      <c r="B14" s="6" t="s">
        <v>13</v>
      </c>
      <c r="C14" s="6" t="s">
        <v>14</v>
      </c>
      <c r="D14" s="6" t="s">
        <v>15</v>
      </c>
      <c r="E14" s="6" t="s">
        <v>16</v>
      </c>
      <c r="F14" s="6" t="s">
        <v>17</v>
      </c>
    </row>
    <row r="15" spans="1:6">
      <c r="A15" s="7">
        <v>1</v>
      </c>
      <c r="B15" s="9">
        <f>$B$4</f>
        <v>18208800</v>
      </c>
      <c r="C15" s="9">
        <f t="shared" ref="C15:C32" si="0">$B$8</f>
        <v>1093567.3585034679</v>
      </c>
      <c r="D15" s="9">
        <f t="shared" ref="D15:D32" si="1">B15*($E$5/100)</f>
        <v>151740</v>
      </c>
      <c r="E15" s="9">
        <f t="shared" ref="E15:E32" si="2">C15-D15</f>
        <v>941827.35850346787</v>
      </c>
      <c r="F15" s="9">
        <f t="shared" ref="F15:F32" si="3">IF(A15=$B$6,0,MAX(0,B15-E15))</f>
        <v>17266972.641496532</v>
      </c>
    </row>
    <row r="16" spans="1:6">
      <c r="A16" s="7">
        <v>2</v>
      </c>
      <c r="B16" s="9">
        <f t="shared" ref="B16:B32" si="4">F15</f>
        <v>17266972.641496532</v>
      </c>
      <c r="C16" s="9">
        <f t="shared" si="0"/>
        <v>1093567.3585034679</v>
      </c>
      <c r="D16" s="9">
        <f t="shared" si="1"/>
        <v>143891.43867913776</v>
      </c>
      <c r="E16" s="9">
        <f t="shared" si="2"/>
        <v>949675.91982433014</v>
      </c>
      <c r="F16" s="9">
        <f t="shared" si="3"/>
        <v>16317296.721672202</v>
      </c>
    </row>
    <row r="17" spans="1:6">
      <c r="A17" s="7">
        <v>3</v>
      </c>
      <c r="B17" s="9">
        <f t="shared" si="4"/>
        <v>16317296.721672202</v>
      </c>
      <c r="C17" s="9">
        <f t="shared" si="0"/>
        <v>1093567.3585034679</v>
      </c>
      <c r="D17" s="9">
        <f t="shared" si="1"/>
        <v>135977.47268060167</v>
      </c>
      <c r="E17" s="9">
        <f t="shared" si="2"/>
        <v>957589.88582286623</v>
      </c>
      <c r="F17" s="9">
        <f t="shared" si="3"/>
        <v>15359706.835849335</v>
      </c>
    </row>
    <row r="18" spans="1:6">
      <c r="A18" s="7">
        <v>4</v>
      </c>
      <c r="B18" s="9">
        <f t="shared" si="4"/>
        <v>15359706.835849335</v>
      </c>
      <c r="C18" s="9">
        <f t="shared" si="0"/>
        <v>1093567.3585034679</v>
      </c>
      <c r="D18" s="9">
        <f t="shared" si="1"/>
        <v>127997.55696541113</v>
      </c>
      <c r="E18" s="9">
        <f t="shared" si="2"/>
        <v>965569.80153805669</v>
      </c>
      <c r="F18" s="9">
        <f t="shared" si="3"/>
        <v>14394137.03431128</v>
      </c>
    </row>
    <row r="19" spans="1:6">
      <c r="A19" s="7">
        <v>5</v>
      </c>
      <c r="B19" s="9">
        <f t="shared" si="4"/>
        <v>14394137.03431128</v>
      </c>
      <c r="C19" s="9">
        <f t="shared" si="0"/>
        <v>1093567.3585034679</v>
      </c>
      <c r="D19" s="9">
        <f t="shared" si="1"/>
        <v>119951.141952594</v>
      </c>
      <c r="E19" s="9">
        <f t="shared" si="2"/>
        <v>973616.21655087383</v>
      </c>
      <c r="F19" s="9">
        <f t="shared" si="3"/>
        <v>13420520.817760406</v>
      </c>
    </row>
    <row r="20" spans="1:6">
      <c r="A20" s="7">
        <v>6</v>
      </c>
      <c r="B20" s="9">
        <f t="shared" si="4"/>
        <v>13420520.817760406</v>
      </c>
      <c r="C20" s="9">
        <f t="shared" si="0"/>
        <v>1093567.3585034679</v>
      </c>
      <c r="D20" s="9">
        <f t="shared" si="1"/>
        <v>111837.67348133672</v>
      </c>
      <c r="E20" s="9">
        <f t="shared" si="2"/>
        <v>981729.68502213119</v>
      </c>
      <c r="F20" s="9">
        <f t="shared" si="3"/>
        <v>12438791.132738275</v>
      </c>
    </row>
    <row r="21" spans="1:6">
      <c r="A21" s="7">
        <v>7</v>
      </c>
      <c r="B21" s="9">
        <f t="shared" si="4"/>
        <v>12438791.132738275</v>
      </c>
      <c r="C21" s="9">
        <f t="shared" si="0"/>
        <v>1093567.3585034679</v>
      </c>
      <c r="D21" s="9">
        <f t="shared" si="1"/>
        <v>103656.59277281896</v>
      </c>
      <c r="E21" s="9">
        <f t="shared" si="2"/>
        <v>989910.76573064888</v>
      </c>
      <c r="F21" s="9">
        <f t="shared" si="3"/>
        <v>11448880.367007626</v>
      </c>
    </row>
    <row r="22" spans="1:6">
      <c r="A22" s="7">
        <v>8</v>
      </c>
      <c r="B22" s="9">
        <f t="shared" si="4"/>
        <v>11448880.367007626</v>
      </c>
      <c r="C22" s="9">
        <f t="shared" si="0"/>
        <v>1093567.3585034679</v>
      </c>
      <c r="D22" s="9">
        <f t="shared" si="1"/>
        <v>95407.336391730219</v>
      </c>
      <c r="E22" s="9">
        <f t="shared" si="2"/>
        <v>998160.02211173763</v>
      </c>
      <c r="F22" s="9">
        <f t="shared" si="3"/>
        <v>10450720.344895888</v>
      </c>
    </row>
    <row r="23" spans="1:6">
      <c r="A23" s="7">
        <v>9</v>
      </c>
      <c r="B23" s="9">
        <f t="shared" si="4"/>
        <v>10450720.344895888</v>
      </c>
      <c r="C23" s="9">
        <f t="shared" si="0"/>
        <v>1093567.3585034679</v>
      </c>
      <c r="D23" s="9">
        <f t="shared" si="1"/>
        <v>87089.336207465734</v>
      </c>
      <c r="E23" s="9">
        <f t="shared" si="2"/>
        <v>1006478.0222960021</v>
      </c>
      <c r="F23" s="9">
        <f t="shared" si="3"/>
        <v>9444242.322599886</v>
      </c>
    </row>
    <row r="24" spans="1:6">
      <c r="A24" s="7">
        <v>10</v>
      </c>
      <c r="B24" s="9">
        <f t="shared" si="4"/>
        <v>9444242.322599886</v>
      </c>
      <c r="C24" s="9">
        <f t="shared" si="0"/>
        <v>1093567.3585034679</v>
      </c>
      <c r="D24" s="9">
        <f t="shared" si="1"/>
        <v>78702.019354999051</v>
      </c>
      <c r="E24" s="9">
        <f t="shared" si="2"/>
        <v>1014865.3391484688</v>
      </c>
      <c r="F24" s="9">
        <f t="shared" si="3"/>
        <v>8429376.9834514167</v>
      </c>
    </row>
    <row r="25" spans="1:6">
      <c r="A25" s="7">
        <v>11</v>
      </c>
      <c r="B25" s="9">
        <f t="shared" si="4"/>
        <v>8429376.9834514167</v>
      </c>
      <c r="C25" s="9">
        <f t="shared" si="0"/>
        <v>1093567.3585034679</v>
      </c>
      <c r="D25" s="9">
        <f t="shared" si="1"/>
        <v>70244.808195428472</v>
      </c>
      <c r="E25" s="9">
        <f t="shared" si="2"/>
        <v>1023322.5503080394</v>
      </c>
      <c r="F25" s="9">
        <f t="shared" si="3"/>
        <v>7406054.4331433773</v>
      </c>
    </row>
    <row r="26" spans="1:6">
      <c r="A26" s="7">
        <v>12</v>
      </c>
      <c r="B26" s="9">
        <f t="shared" si="4"/>
        <v>7406054.4331433773</v>
      </c>
      <c r="C26" s="9">
        <f t="shared" si="0"/>
        <v>1093567.3585034679</v>
      </c>
      <c r="D26" s="9">
        <f t="shared" si="1"/>
        <v>61717.120276194808</v>
      </c>
      <c r="E26" s="9">
        <f t="shared" si="2"/>
        <v>1031850.2382272731</v>
      </c>
      <c r="F26" s="9">
        <f t="shared" si="3"/>
        <v>6374204.194916104</v>
      </c>
    </row>
    <row r="27" spans="1:6">
      <c r="A27" s="7">
        <v>13</v>
      </c>
      <c r="B27" s="9">
        <f t="shared" si="4"/>
        <v>6374204.194916104</v>
      </c>
      <c r="C27" s="9">
        <f t="shared" si="0"/>
        <v>1093567.3585034679</v>
      </c>
      <c r="D27" s="9">
        <f t="shared" si="1"/>
        <v>53118.368290967534</v>
      </c>
      <c r="E27" s="9">
        <f t="shared" si="2"/>
        <v>1040448.9902125003</v>
      </c>
      <c r="F27" s="9">
        <f t="shared" si="3"/>
        <v>5333755.2047036039</v>
      </c>
    </row>
    <row r="28" spans="1:6">
      <c r="A28" s="7">
        <v>14</v>
      </c>
      <c r="B28" s="9">
        <f t="shared" si="4"/>
        <v>5333755.2047036039</v>
      </c>
      <c r="C28" s="9">
        <f t="shared" si="0"/>
        <v>1093567.3585034679</v>
      </c>
      <c r="D28" s="9">
        <f t="shared" si="1"/>
        <v>44447.960039196696</v>
      </c>
      <c r="E28" s="9">
        <f t="shared" si="2"/>
        <v>1049119.3984642711</v>
      </c>
      <c r="F28" s="9">
        <f t="shared" si="3"/>
        <v>4284635.806239333</v>
      </c>
    </row>
    <row r="29" spans="1:6">
      <c r="A29" s="7">
        <v>15</v>
      </c>
      <c r="B29" s="9">
        <f t="shared" si="4"/>
        <v>4284635.806239333</v>
      </c>
      <c r="C29" s="9">
        <f t="shared" si="0"/>
        <v>1093567.3585034679</v>
      </c>
      <c r="D29" s="9">
        <f t="shared" si="1"/>
        <v>35705.298385327776</v>
      </c>
      <c r="E29" s="9">
        <f t="shared" si="2"/>
        <v>1057862.0601181402</v>
      </c>
      <c r="F29" s="9">
        <f t="shared" si="3"/>
        <v>3226773.7461211928</v>
      </c>
    </row>
    <row r="30" spans="1:6">
      <c r="A30" s="7">
        <v>16</v>
      </c>
      <c r="B30" s="9">
        <f t="shared" si="4"/>
        <v>3226773.7461211928</v>
      </c>
      <c r="C30" s="9">
        <f t="shared" si="0"/>
        <v>1093567.3585034679</v>
      </c>
      <c r="D30" s="9">
        <f t="shared" si="1"/>
        <v>26889.781217676606</v>
      </c>
      <c r="E30" s="9">
        <f t="shared" si="2"/>
        <v>1066677.5772857913</v>
      </c>
      <c r="F30" s="9">
        <f t="shared" si="3"/>
        <v>2160096.1688354015</v>
      </c>
    </row>
    <row r="31" spans="1:6">
      <c r="A31" s="7">
        <v>17</v>
      </c>
      <c r="B31" s="9">
        <f t="shared" si="4"/>
        <v>2160096.1688354015</v>
      </c>
      <c r="C31" s="9">
        <f t="shared" si="0"/>
        <v>1093567.3585034679</v>
      </c>
      <c r="D31" s="9">
        <f t="shared" si="1"/>
        <v>18000.80140696168</v>
      </c>
      <c r="E31" s="9">
        <f t="shared" si="2"/>
        <v>1075566.5570965062</v>
      </c>
      <c r="F31" s="9">
        <f t="shared" si="3"/>
        <v>1084529.6117388953</v>
      </c>
    </row>
    <row r="32" spans="1:6">
      <c r="A32" s="8">
        <v>18</v>
      </c>
      <c r="B32" s="10">
        <f t="shared" si="4"/>
        <v>1084529.6117388953</v>
      </c>
      <c r="C32" s="10">
        <f t="shared" si="0"/>
        <v>1093567.3585034679</v>
      </c>
      <c r="D32" s="10">
        <f t="shared" si="1"/>
        <v>9037.7467644907938</v>
      </c>
      <c r="E32" s="10">
        <f t="shared" si="2"/>
        <v>1084529.611738977</v>
      </c>
      <c r="F32" s="10">
        <f t="shared" si="3"/>
        <v>0</v>
      </c>
    </row>
  </sheetData>
  <mergeCells count="3">
    <mergeCell ref="A1:F1"/>
    <mergeCell ref="A12:F12"/>
    <mergeCell ref="A2:F2"/>
  </mergeCells>
  <conditionalFormatting sqref="A15:F32">
    <cfRule type="expression" dxfId="1" priority="1">
      <formula>MOD($A15,2)=0</formula>
    </cfRule>
  </conditionalFormatting>
  <dataValidations count="1">
    <dataValidation type="list" sqref="E4" xr:uid="{00000000-0002-0000-0200-000000000000}">
      <formula1>"TNA,TEA"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8"/>
  <sheetViews>
    <sheetView tabSelected="1" workbookViewId="0">
      <selection activeCell="F7" sqref="F7"/>
    </sheetView>
  </sheetViews>
  <sheetFormatPr baseColWidth="10" defaultColWidth="9" defaultRowHeight="13.5"/>
  <cols>
    <col min="1" max="1" width="30" customWidth="1"/>
    <col min="2" max="3" width="18" customWidth="1"/>
    <col min="4" max="4" width="30" customWidth="1"/>
    <col min="5" max="6" width="18" customWidth="1"/>
  </cols>
  <sheetData>
    <row r="1" spans="1:6" ht="14" customHeight="1">
      <c r="A1" s="15" t="s">
        <v>20</v>
      </c>
      <c r="B1" s="15"/>
      <c r="C1" s="15"/>
      <c r="D1" s="15"/>
      <c r="E1" s="15"/>
      <c r="F1" s="15"/>
    </row>
    <row r="2" spans="1:6" ht="13.9">
      <c r="A2" s="17" t="s">
        <v>1</v>
      </c>
      <c r="B2" s="17"/>
      <c r="C2" s="17"/>
      <c r="D2" s="17"/>
      <c r="E2" s="17"/>
      <c r="F2" s="17"/>
    </row>
    <row r="3" spans="1:6" s="19" customFormat="1" ht="13.9">
      <c r="A3" s="18"/>
      <c r="B3" s="18" t="s">
        <v>23</v>
      </c>
      <c r="C3" s="18" t="s">
        <v>24</v>
      </c>
      <c r="D3" s="18"/>
      <c r="E3" s="18"/>
      <c r="F3" s="18"/>
    </row>
    <row r="4" spans="1:6" ht="13.9">
      <c r="A4" s="1" t="s">
        <v>2</v>
      </c>
      <c r="B4" s="11">
        <v>18208800</v>
      </c>
      <c r="C4" s="11">
        <f>B4/E8</f>
        <v>11901.176470588236</v>
      </c>
      <c r="D4" t="s">
        <v>3</v>
      </c>
      <c r="E4" s="13" t="s">
        <v>4</v>
      </c>
    </row>
    <row r="5" spans="1:6" ht="13.9">
      <c r="A5" s="1" t="s">
        <v>5</v>
      </c>
      <c r="B5" s="12">
        <v>10</v>
      </c>
      <c r="C5" t="s">
        <v>25</v>
      </c>
      <c r="D5" t="s">
        <v>6</v>
      </c>
      <c r="E5" s="14">
        <f>IF(E4="TEA",((1+B5/100)^(1/12)-1)*100,B5/12)</f>
        <v>0.83333333333333337</v>
      </c>
    </row>
    <row r="6" spans="1:6" ht="13.9">
      <c r="A6" s="2" t="s">
        <v>7</v>
      </c>
      <c r="B6" s="4">
        <v>24</v>
      </c>
    </row>
    <row r="8" spans="1:6" ht="13.9">
      <c r="A8" s="3" t="s">
        <v>8</v>
      </c>
      <c r="B8" s="5">
        <f>IF(E5=0,B4/B6,B4*(E5/100)/(1-(1+E5/100)^(-B6)))</f>
        <v>840243.73469457403</v>
      </c>
      <c r="D8" s="3" t="s">
        <v>22</v>
      </c>
      <c r="E8" s="5">
        <v>1530</v>
      </c>
    </row>
    <row r="9" spans="1:6" ht="13.9">
      <c r="A9" s="3" t="s">
        <v>9</v>
      </c>
      <c r="B9" s="5">
        <f>B8*B6</f>
        <v>20165849.632669777</v>
      </c>
      <c r="C9" s="11">
        <f>B9/E8</f>
        <v>13180.293877561946</v>
      </c>
      <c r="D9" s="3" t="s">
        <v>21</v>
      </c>
      <c r="E9" s="5">
        <f>B8/E8</f>
        <v>549.17891156508108</v>
      </c>
    </row>
    <row r="10" spans="1:6" ht="13.9">
      <c r="A10" s="3" t="s">
        <v>10</v>
      </c>
      <c r="B10" s="5">
        <f>B9-B4</f>
        <v>1957049.6326697767</v>
      </c>
    </row>
    <row r="12" spans="1:6" ht="16.05" customHeight="1">
      <c r="A12" s="16" t="s">
        <v>11</v>
      </c>
      <c r="B12" s="16"/>
      <c r="C12" s="16"/>
      <c r="D12" s="16"/>
      <c r="E12" s="16"/>
      <c r="F12" s="16"/>
    </row>
    <row r="14" spans="1:6" ht="12" customHeight="1">
      <c r="A14" s="6" t="s">
        <v>12</v>
      </c>
      <c r="B14" s="6" t="s">
        <v>13</v>
      </c>
      <c r="C14" s="6" t="s">
        <v>14</v>
      </c>
      <c r="D14" s="6" t="s">
        <v>15</v>
      </c>
      <c r="E14" s="6" t="s">
        <v>16</v>
      </c>
      <c r="F14" s="6" t="s">
        <v>17</v>
      </c>
    </row>
    <row r="15" spans="1:6">
      <c r="A15" s="7">
        <v>1</v>
      </c>
      <c r="B15" s="9">
        <f>$B$4</f>
        <v>18208800</v>
      </c>
      <c r="C15" s="9">
        <f t="shared" ref="C15:C38" si="0">$B$8</f>
        <v>840243.73469457403</v>
      </c>
      <c r="D15" s="9">
        <f t="shared" ref="D15:D38" si="1">B15*($E$5/100)</f>
        <v>151740</v>
      </c>
      <c r="E15" s="9">
        <f t="shared" ref="E15:E38" si="2">C15-D15</f>
        <v>688503.73469457403</v>
      </c>
      <c r="F15" s="9">
        <f t="shared" ref="F15:F38" si="3">IF(A15=$B$6,0,MAX(0,B15-E15))</f>
        <v>17520296.265305426</v>
      </c>
    </row>
    <row r="16" spans="1:6">
      <c r="A16" s="7">
        <v>2</v>
      </c>
      <c r="B16" s="9">
        <f t="shared" ref="B16:B38" si="4">F15</f>
        <v>17520296.265305426</v>
      </c>
      <c r="C16" s="9">
        <f t="shared" si="0"/>
        <v>840243.73469457403</v>
      </c>
      <c r="D16" s="9">
        <f t="shared" si="1"/>
        <v>146002.46887754521</v>
      </c>
      <c r="E16" s="9">
        <f t="shared" si="2"/>
        <v>694241.26581702882</v>
      </c>
      <c r="F16" s="9">
        <f t="shared" si="3"/>
        <v>16826054.999488398</v>
      </c>
    </row>
    <row r="17" spans="1:6">
      <c r="A17" s="7">
        <v>3</v>
      </c>
      <c r="B17" s="9">
        <f t="shared" si="4"/>
        <v>16826054.999488398</v>
      </c>
      <c r="C17" s="9">
        <f t="shared" si="0"/>
        <v>840243.73469457403</v>
      </c>
      <c r="D17" s="9">
        <f t="shared" si="1"/>
        <v>140217.12499573664</v>
      </c>
      <c r="E17" s="9">
        <f t="shared" si="2"/>
        <v>700026.60969883739</v>
      </c>
      <c r="F17" s="9">
        <f t="shared" si="3"/>
        <v>16126028.389789561</v>
      </c>
    </row>
    <row r="18" spans="1:6">
      <c r="A18" s="7">
        <v>4</v>
      </c>
      <c r="B18" s="9">
        <f t="shared" si="4"/>
        <v>16126028.389789561</v>
      </c>
      <c r="C18" s="9">
        <f t="shared" si="0"/>
        <v>840243.73469457403</v>
      </c>
      <c r="D18" s="9">
        <f t="shared" si="1"/>
        <v>134383.56991491301</v>
      </c>
      <c r="E18" s="9">
        <f t="shared" si="2"/>
        <v>705860.16477966099</v>
      </c>
      <c r="F18" s="9">
        <f t="shared" si="3"/>
        <v>15420168.2250099</v>
      </c>
    </row>
    <row r="19" spans="1:6">
      <c r="A19" s="7">
        <v>5</v>
      </c>
      <c r="B19" s="9">
        <f t="shared" si="4"/>
        <v>15420168.2250099</v>
      </c>
      <c r="C19" s="9">
        <f t="shared" si="0"/>
        <v>840243.73469457403</v>
      </c>
      <c r="D19" s="9">
        <f t="shared" si="1"/>
        <v>128501.40187508249</v>
      </c>
      <c r="E19" s="9">
        <f t="shared" si="2"/>
        <v>711742.33281949151</v>
      </c>
      <c r="F19" s="9">
        <f t="shared" si="3"/>
        <v>14708425.892190408</v>
      </c>
    </row>
    <row r="20" spans="1:6">
      <c r="A20" s="7">
        <v>6</v>
      </c>
      <c r="B20" s="9">
        <f t="shared" si="4"/>
        <v>14708425.892190408</v>
      </c>
      <c r="C20" s="9">
        <f t="shared" si="0"/>
        <v>840243.73469457403</v>
      </c>
      <c r="D20" s="9">
        <f t="shared" si="1"/>
        <v>122570.2157682534</v>
      </c>
      <c r="E20" s="9">
        <f t="shared" si="2"/>
        <v>717673.5189263206</v>
      </c>
      <c r="F20" s="9">
        <f t="shared" si="3"/>
        <v>13990752.373264087</v>
      </c>
    </row>
    <row r="21" spans="1:6">
      <c r="A21" s="7">
        <v>7</v>
      </c>
      <c r="B21" s="9">
        <f t="shared" si="4"/>
        <v>13990752.373264087</v>
      </c>
      <c r="C21" s="9">
        <f t="shared" si="0"/>
        <v>840243.73469457403</v>
      </c>
      <c r="D21" s="9">
        <f t="shared" si="1"/>
        <v>116589.60311053407</v>
      </c>
      <c r="E21" s="9">
        <f t="shared" si="2"/>
        <v>723654.13158404001</v>
      </c>
      <c r="F21" s="9">
        <f t="shared" si="3"/>
        <v>13267098.241680047</v>
      </c>
    </row>
    <row r="22" spans="1:6">
      <c r="A22" s="7">
        <v>8</v>
      </c>
      <c r="B22" s="9">
        <f t="shared" si="4"/>
        <v>13267098.241680047</v>
      </c>
      <c r="C22" s="9">
        <f t="shared" si="0"/>
        <v>840243.73469457403</v>
      </c>
      <c r="D22" s="9">
        <f t="shared" si="1"/>
        <v>110559.15201400038</v>
      </c>
      <c r="E22" s="9">
        <f t="shared" si="2"/>
        <v>729684.58268057369</v>
      </c>
      <c r="F22" s="9">
        <f t="shared" si="3"/>
        <v>12537413.658999473</v>
      </c>
    </row>
    <row r="23" spans="1:6">
      <c r="A23" s="7">
        <v>9</v>
      </c>
      <c r="B23" s="9">
        <f t="shared" si="4"/>
        <v>12537413.658999473</v>
      </c>
      <c r="C23" s="9">
        <f t="shared" si="0"/>
        <v>840243.73469457403</v>
      </c>
      <c r="D23" s="9">
        <f t="shared" si="1"/>
        <v>104478.44715832894</v>
      </c>
      <c r="E23" s="9">
        <f t="shared" si="2"/>
        <v>735765.28753624507</v>
      </c>
      <c r="F23" s="9">
        <f t="shared" si="3"/>
        <v>11801648.371463228</v>
      </c>
    </row>
    <row r="24" spans="1:6">
      <c r="A24" s="7">
        <v>10</v>
      </c>
      <c r="B24" s="9">
        <f t="shared" si="4"/>
        <v>11801648.371463228</v>
      </c>
      <c r="C24" s="9">
        <f t="shared" si="0"/>
        <v>840243.73469457403</v>
      </c>
      <c r="D24" s="9">
        <f t="shared" si="1"/>
        <v>98347.069762193569</v>
      </c>
      <c r="E24" s="9">
        <f t="shared" si="2"/>
        <v>741896.66493238043</v>
      </c>
      <c r="F24" s="9">
        <f t="shared" si="3"/>
        <v>11059751.706530847</v>
      </c>
    </row>
    <row r="25" spans="1:6">
      <c r="A25" s="7">
        <v>11</v>
      </c>
      <c r="B25" s="9">
        <f t="shared" si="4"/>
        <v>11059751.706530847</v>
      </c>
      <c r="C25" s="9">
        <f t="shared" si="0"/>
        <v>840243.73469457403</v>
      </c>
      <c r="D25" s="9">
        <f t="shared" si="1"/>
        <v>92164.597554423715</v>
      </c>
      <c r="E25" s="9">
        <f t="shared" si="2"/>
        <v>748079.1371401503</v>
      </c>
      <c r="F25" s="9">
        <f t="shared" si="3"/>
        <v>10311672.569390696</v>
      </c>
    </row>
    <row r="26" spans="1:6">
      <c r="A26" s="7">
        <v>12</v>
      </c>
      <c r="B26" s="9">
        <f t="shared" si="4"/>
        <v>10311672.569390696</v>
      </c>
      <c r="C26" s="9">
        <f t="shared" si="0"/>
        <v>840243.73469457403</v>
      </c>
      <c r="D26" s="9">
        <f t="shared" si="1"/>
        <v>85930.604744922457</v>
      </c>
      <c r="E26" s="9">
        <f t="shared" si="2"/>
        <v>754313.12994965154</v>
      </c>
      <c r="F26" s="9">
        <f t="shared" si="3"/>
        <v>9557359.4394410439</v>
      </c>
    </row>
    <row r="27" spans="1:6">
      <c r="A27" s="7">
        <v>13</v>
      </c>
      <c r="B27" s="9">
        <f t="shared" si="4"/>
        <v>9557359.4394410439</v>
      </c>
      <c r="C27" s="9">
        <f t="shared" si="0"/>
        <v>840243.73469457403</v>
      </c>
      <c r="D27" s="9">
        <f t="shared" si="1"/>
        <v>79644.66199534203</v>
      </c>
      <c r="E27" s="9">
        <f t="shared" si="2"/>
        <v>760599.07269923203</v>
      </c>
      <c r="F27" s="9">
        <f t="shared" si="3"/>
        <v>8796760.3667418119</v>
      </c>
    </row>
    <row r="28" spans="1:6">
      <c r="A28" s="7">
        <v>14</v>
      </c>
      <c r="B28" s="9">
        <f t="shared" si="4"/>
        <v>8796760.3667418119</v>
      </c>
      <c r="C28" s="9">
        <f t="shared" si="0"/>
        <v>840243.73469457403</v>
      </c>
      <c r="D28" s="9">
        <f t="shared" si="1"/>
        <v>73306.336389515098</v>
      </c>
      <c r="E28" s="9">
        <f t="shared" si="2"/>
        <v>766937.39830505894</v>
      </c>
      <c r="F28" s="9">
        <f t="shared" si="3"/>
        <v>8029822.9684367534</v>
      </c>
    </row>
    <row r="29" spans="1:6">
      <c r="A29" s="7">
        <v>15</v>
      </c>
      <c r="B29" s="9">
        <f t="shared" si="4"/>
        <v>8029822.9684367534</v>
      </c>
      <c r="C29" s="9">
        <f t="shared" si="0"/>
        <v>840243.73469457403</v>
      </c>
      <c r="D29" s="9">
        <f t="shared" si="1"/>
        <v>66915.191403639605</v>
      </c>
      <c r="E29" s="9">
        <f t="shared" si="2"/>
        <v>773328.54329093441</v>
      </c>
      <c r="F29" s="9">
        <f t="shared" si="3"/>
        <v>7256494.4251458189</v>
      </c>
    </row>
    <row r="30" spans="1:6">
      <c r="A30" s="7">
        <v>16</v>
      </c>
      <c r="B30" s="9">
        <f t="shared" si="4"/>
        <v>7256494.4251458189</v>
      </c>
      <c r="C30" s="9">
        <f t="shared" si="0"/>
        <v>840243.73469457403</v>
      </c>
      <c r="D30" s="9">
        <f t="shared" si="1"/>
        <v>60470.786876215156</v>
      </c>
      <c r="E30" s="9">
        <f t="shared" si="2"/>
        <v>779772.94781835889</v>
      </c>
      <c r="F30" s="9">
        <f t="shared" si="3"/>
        <v>6476721.4773274604</v>
      </c>
    </row>
    <row r="31" spans="1:6">
      <c r="A31" s="7">
        <v>17</v>
      </c>
      <c r="B31" s="9">
        <f t="shared" si="4"/>
        <v>6476721.4773274604</v>
      </c>
      <c r="C31" s="9">
        <f t="shared" si="0"/>
        <v>840243.73469457403</v>
      </c>
      <c r="D31" s="9">
        <f t="shared" si="1"/>
        <v>53972.678977728836</v>
      </c>
      <c r="E31" s="9">
        <f t="shared" si="2"/>
        <v>786271.05571684521</v>
      </c>
      <c r="F31" s="9">
        <f t="shared" si="3"/>
        <v>5690450.4216106152</v>
      </c>
    </row>
    <row r="32" spans="1:6">
      <c r="A32" s="7">
        <v>18</v>
      </c>
      <c r="B32" s="9">
        <f t="shared" si="4"/>
        <v>5690450.4216106152</v>
      </c>
      <c r="C32" s="9">
        <f t="shared" si="0"/>
        <v>840243.73469457403</v>
      </c>
      <c r="D32" s="9">
        <f t="shared" si="1"/>
        <v>47420.420180088462</v>
      </c>
      <c r="E32" s="9">
        <f t="shared" si="2"/>
        <v>792823.31451448554</v>
      </c>
      <c r="F32" s="9">
        <f t="shared" si="3"/>
        <v>4897627.10709613</v>
      </c>
    </row>
    <row r="33" spans="1:6">
      <c r="A33" s="7">
        <v>19</v>
      </c>
      <c r="B33" s="9">
        <f t="shared" si="4"/>
        <v>4897627.10709613</v>
      </c>
      <c r="C33" s="9">
        <f t="shared" si="0"/>
        <v>840243.73469457403</v>
      </c>
      <c r="D33" s="9">
        <f t="shared" si="1"/>
        <v>40813.55922580108</v>
      </c>
      <c r="E33" s="9">
        <f t="shared" si="2"/>
        <v>799430.175468773</v>
      </c>
      <c r="F33" s="9">
        <f t="shared" si="3"/>
        <v>4098196.9316273569</v>
      </c>
    </row>
    <row r="34" spans="1:6">
      <c r="A34" s="7">
        <v>20</v>
      </c>
      <c r="B34" s="9">
        <f t="shared" si="4"/>
        <v>4098196.9316273569</v>
      </c>
      <c r="C34" s="9">
        <f t="shared" si="0"/>
        <v>840243.73469457403</v>
      </c>
      <c r="D34" s="9">
        <f t="shared" si="1"/>
        <v>34151.641096894644</v>
      </c>
      <c r="E34" s="9">
        <f t="shared" si="2"/>
        <v>806092.0935976794</v>
      </c>
      <c r="F34" s="9">
        <f t="shared" si="3"/>
        <v>3292104.8380296775</v>
      </c>
    </row>
    <row r="35" spans="1:6">
      <c r="A35" s="7">
        <v>21</v>
      </c>
      <c r="B35" s="9">
        <f t="shared" si="4"/>
        <v>3292104.8380296775</v>
      </c>
      <c r="C35" s="9">
        <f t="shared" si="0"/>
        <v>840243.73469457403</v>
      </c>
      <c r="D35" s="9">
        <f t="shared" si="1"/>
        <v>27434.206983580647</v>
      </c>
      <c r="E35" s="9">
        <f t="shared" si="2"/>
        <v>812809.52771099342</v>
      </c>
      <c r="F35" s="9">
        <f t="shared" si="3"/>
        <v>2479295.3103186842</v>
      </c>
    </row>
    <row r="36" spans="1:6">
      <c r="A36" s="7">
        <v>22</v>
      </c>
      <c r="B36" s="9">
        <f t="shared" si="4"/>
        <v>2479295.3103186842</v>
      </c>
      <c r="C36" s="9">
        <f t="shared" si="0"/>
        <v>840243.73469457403</v>
      </c>
      <c r="D36" s="9">
        <f t="shared" si="1"/>
        <v>20660.794252655702</v>
      </c>
      <c r="E36" s="9">
        <f t="shared" si="2"/>
        <v>819582.94044191833</v>
      </c>
      <c r="F36" s="9">
        <f t="shared" si="3"/>
        <v>1659712.3698767659</v>
      </c>
    </row>
    <row r="37" spans="1:6">
      <c r="A37" s="7">
        <v>23</v>
      </c>
      <c r="B37" s="9">
        <f t="shared" si="4"/>
        <v>1659712.3698767659</v>
      </c>
      <c r="C37" s="9">
        <f t="shared" si="0"/>
        <v>840243.73469457403</v>
      </c>
      <c r="D37" s="9">
        <f t="shared" si="1"/>
        <v>13830.936415639715</v>
      </c>
      <c r="E37" s="9">
        <f t="shared" si="2"/>
        <v>826412.79827893432</v>
      </c>
      <c r="F37" s="9">
        <f t="shared" si="3"/>
        <v>833299.57159783156</v>
      </c>
    </row>
    <row r="38" spans="1:6">
      <c r="A38" s="8">
        <v>24</v>
      </c>
      <c r="B38" s="10">
        <f t="shared" si="4"/>
        <v>833299.57159783156</v>
      </c>
      <c r="C38" s="10">
        <f t="shared" si="0"/>
        <v>840243.73469457403</v>
      </c>
      <c r="D38" s="10">
        <f t="shared" si="1"/>
        <v>6944.1630966485964</v>
      </c>
      <c r="E38" s="10">
        <f t="shared" si="2"/>
        <v>833299.57159792539</v>
      </c>
      <c r="F38" s="10">
        <f t="shared" si="3"/>
        <v>0</v>
      </c>
    </row>
  </sheetData>
  <mergeCells count="3">
    <mergeCell ref="A1:F1"/>
    <mergeCell ref="A12:F12"/>
    <mergeCell ref="A2:F2"/>
  </mergeCells>
  <conditionalFormatting sqref="A15:F38">
    <cfRule type="expression" dxfId="0" priority="1">
      <formula>MOD($A15,2)=0</formula>
    </cfRule>
  </conditionalFormatting>
  <dataValidations count="1">
    <dataValidation type="list" sqref="E4" xr:uid="{00000000-0002-0000-0300-000000000000}">
      <formula1>"TNA,TEA"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6 meses</vt:lpstr>
      <vt:lpstr>12 meses</vt:lpstr>
      <vt:lpstr>18 meses</vt:lpstr>
      <vt:lpstr>24 meses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Miyu Rory Schrank</cp:lastModifiedBy>
  <dcterms:modified xsi:type="dcterms:W3CDTF">2026-08-07T22:35:29Z</dcterms:modified>
</cp:coreProperties>
</file>
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 FIAT 16304-83"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<sst xmlns="http://schemas.openxmlformats.org/spreadsheetml/2006/main" count="24" uniqueCount="24">
  <si>
    <t xml:space="preserve">Plan de ahorro FIAT 70/30 — seguimiento de alícuotas</t>
  </si>
  <si>
    <t xml:space="preserve">SCHRANK, MIYU RORY  ·  Grupo/Orden 16304/83  ·  84 cuotas (70/30)  ·  cuotas 2 a 49  ·  ARS</t>
  </si>
  <si>
    <t xml:space="preserve">Cantidad total de cuotas del plan (N):</t>
  </si>
  <si>
    <t xml:space="preserve">← cuotas totales del plan (editable)</t>
  </si>
  <si>
    <t xml:space="preserve">Proporción financiada por las alícuotas (70/30):</t>
  </si>
  <si>
    <t xml:space="preserve">← EDITABLE. Las alícuotas cubren el 70% del auto en 84 cuotas. Valor del móvil (100%) = alícuota × N ÷ 70%.</t>
  </si>
  <si>
    <t xml:space="preserve">Cuota N°</t>
  </si>
  <si>
    <t xml:space="preserve">Período
(emisión)</t>
  </si>
  <si>
    <t xml:space="preserve">Alícuota pagada</t>
  </si>
  <si>
    <t xml:space="preserve">Valor del móvil
(100% del auto)</t>
  </si>
  <si>
    <t xml:space="preserve">% del móvil que
cubre la alícuota</t>
  </si>
  <si>
    <t xml:space="preserve">% acumulado del
móvil cubierto</t>
  </si>
  <si>
    <t xml:space="preserve">Total pagado
en la cuota</t>
  </si>
  <si>
    <t xml:space="preserve">Cuotas registradas:</t>
  </si>
  <si>
    <t xml:space="preserve">Suma de alícuotas (nominal):</t>
  </si>
  <si>
    <t xml:space="preserve">Valor del móvil hoy (cuota 49, 100%):</t>
  </si>
  <si>
    <t xml:space="preserve">% del auto cubierto a la fecha:</t>
  </si>
  <si>
    <t xml:space="preserve">► Valor HOY de lo ya pagado:</t>
  </si>
  <si>
    <t xml:space="preserve">Notas y supuestos:</t>
  </si>
  <si>
    <t xml:space="preserve">• Plan 70/30 a 84 cuotas: las alícuotas mensuales financian el 70% del valor del auto; el 30% restante no lo cubren estas alícuotas.</t>
  </si>
  <si>
    <t xml:space="preserve">• Alícuota pagada y Total pagado (en azul) se transcribieron de los comprobantes de FCA S.A. de Ahorro. La parte financiada (70%) = alícuota × 84 = columna D × 70%.</t>
  </si>
  <si>
    <t xml:space="preserve">• Valor del móvil (100%) = alícuota × N ÷ 70% (con N=84 equivale a alícuota × 120). Es una estimación del precio de lista; si conocés el precio real en alguna cuota, verificá que dé parecido.</t>
  </si>
  <si>
    <t xml:space="preserve">• Cada alícuota cubre 1/120 (~0,83%) del auto; al completar las 84 cuotas se llega al 70%. El % acumulado supone cuotas 1 a k pagadas sin saltos (la cuota 1 no figura pero se asume paga).</t>
  </si>
  <si>
    <t xml:space="preserve">• 'Valor HOY de lo ya pagado' = valor del móvil actual × % acumulado cubierto = lo que valen hoy, a precio de auto de hoy, las cuotas ya aportadas. Es mayor que la suma nominal en pesos porque los pesos viejos compraban más auto (el plan funciona como cobertura contra inflación).</t>
  </si>
</sst>
</file>

<file path=xl/styles.xml><?xml version="1.0" encoding="utf-8"?>
<styleSheet xmlns="http://schemas.openxmlformats.org/spreadsheetml/2006/main">
  <numFmts count="9">
    <numFmt numFmtId="164" formatCode="General"/>
    <numFmt numFmtId="165" formatCode="0"/>
    <numFmt numFmtId="166" formatCode="0%"/>
    <numFmt numFmtId="167" formatCode="mm/yyyy"/>
    <numFmt numFmtId="168" formatCode="\$#,##0.00"/>
    <numFmt numFmtId="169" formatCode="\$#,##0"/>
    <numFmt numFmtId="170" formatCode="0.00%"/>
    <numFmt numFmtId="171" formatCode="0.0%"/>
    <numFmt numFmtId="172" formatCode="General"/>
  </numFmts>
  <fonts count="1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404040"/>
      <name val="Arial"/>
      <family val="0"/>
      <charset val="1"/>
    </font>
    <font>
      <b val="true"/>
      <sz val="10"/>
      <color rgb="FF000000"/>
      <name val="Arial"/>
      <family val="0"/>
      <charset val="1"/>
    </font>
    <font>
      <b val="true"/>
      <sz val="11"/>
      <color rgb="FF0000FF"/>
      <name val="Arial"/>
      <family val="0"/>
      <charset val="1"/>
    </font>
    <font>
      <i val="true"/>
      <sz val="9"/>
      <color rgb="FF595959"/>
      <name val="Arial"/>
      <family val="0"/>
      <charset val="1"/>
    </font>
    <font>
      <b val="true"/>
      <sz val="10"/>
      <color rgb="FFFFFFFF"/>
      <name val="Arial"/>
      <family val="0"/>
      <charset val="1"/>
    </font>
    <font>
      <sz val="10"/>
      <color rgb="FF000000"/>
      <name val="Arial"/>
      <family val="0"/>
      <charset val="1"/>
    </font>
    <font>
      <sz val="10"/>
      <color rgb="FF0000FF"/>
      <name val="Arial"/>
      <family val="0"/>
      <charset val="1"/>
    </font>
    <font>
      <b val="true"/>
      <sz val="11"/>
      <color rgb="FF1F5C1F"/>
      <name val="Arial"/>
      <family val="0"/>
      <charset val="1"/>
    </font>
    <font>
      <b val="true"/>
      <sz val="9"/>
      <color rgb="FF404040"/>
      <name val="Arial"/>
      <family val="0"/>
      <charset val="1"/>
    </font>
    <font>
      <i val="true"/>
      <sz val="9"/>
      <color rgb="FF404040"/>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FFFF00"/>
        <bgColor rgb="FFFFFF00"/>
      </patternFill>
    </fill>
    <fill>
      <patternFill patternType="solid">
        <fgColor rgb="FF1F3864"/>
        <bgColor rgb="FF333399"/>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5" fontId="7" fillId="2"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6" fontId="7" fillId="2"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true" applyProtection="false">
      <alignment horizontal="center" vertical="center" textRotation="0" wrapText="false" indent="0" shrinkToFit="false"/>
      <protection locked="true" hidden="false"/>
    </xf>
    <xf numFmtId="171" fontId="10"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true" indent="0" shrinkToFit="false"/>
      <protection locked="true" hidden="false"/>
    </xf>
    <xf numFmtId="172" fontId="6" fillId="0" borderId="0" xfId="0" applyFont="true" applyBorder="false" applyAlignment="true" applyProtection="false">
      <alignment horizontal="center" vertical="center"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true" applyProtection="false">
      <alignment horizontal="center" vertical="center" textRotation="0" wrapText="false" indent="0" shrinkToFit="false"/>
      <protection locked="true" hidden="false"/>
    </xf>
    <xf numFmtId="164" fontId="12" fillId="4" borderId="0" xfId="0" applyFont="true" applyBorder="false" applyAlignment="true" applyProtection="false">
      <alignment horizontal="right" vertical="center" textRotation="0" wrapText="true" indent="0" shrinkToFit="false"/>
      <protection locked="true" hidden="false"/>
    </xf>
    <xf numFmtId="169" fontId="12" fillId="4"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F5C1F"/>
      <rgbColor rgb="FF000080"/>
      <rgbColor rgb="FF808000"/>
      <rgbColor rgb="FF800080"/>
      <rgbColor rgb="FF008080"/>
      <rgbColor rgb="FFBFBFBF"/>
      <rgbColor rgb="FF878787"/>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Valor del móvil (100%) estimado por cuota (ARS)</a:t>
            </a:r>
          </a:p>
        </c:rich>
      </c:tx>
      <c:overlay val="0"/>
      <c:spPr>
        <a:noFill/>
        <a:ln w="0">
          <a:noFill/>
        </a:ln>
      </c:spPr>
    </c:title>
    <c:autoTitleDeleted val="0"/>
    <c:plotArea>
      <c:lineChart>
        <c:grouping val="standard"/>
        <c:varyColors val="0"/>
        <c:ser>
          <c:idx val="0"/>
          <c:order val="0"/>
          <c:tx>
            <c:strRef>
              <c:f>'Plan FIAT 16304-83'!D7</c:f>
              <c:strCache>
                <c:ptCount val="1"/>
                <c:pt idx="0">
                  <c:v>Valor del móvil
(100% del auto)</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'Plan FIAT 16304-83'!$A$8:$A$55</c:f>
              <c:strCache>
                <c:ptCount val="48"/>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46</c:v>
                </c:pt>
                <c:pt idx="45">
                  <c:v>47</c:v>
                </c:pt>
                <c:pt idx="46">
                  <c:v>48</c:v>
                </c:pt>
                <c:pt idx="47">
                  <c:v>49</c:v>
                </c:pt>
              </c:strCache>
            </c:strRef>
          </c:cat>
          <c:val>
            <c:numRef>
              <c:f>'Plan FIAT 16304-83'!$D$8:$D$55</c:f>
              <c:numCache>
                <c:formatCode>\$#,##0</c:formatCode>
                <c:ptCount val="48"/>
                <c:pt idx="0">
                  <c:v>3698100</c:v>
                </c:pt>
                <c:pt idx="1">
                  <c:v>3790599.6</c:v>
                </c:pt>
                <c:pt idx="2">
                  <c:v>3961198.8</c:v>
                </c:pt>
                <c:pt idx="3">
                  <c:v>4139899.2</c:v>
                </c:pt>
                <c:pt idx="4">
                  <c:v>4408999.2</c:v>
                </c:pt>
                <c:pt idx="5">
                  <c:v>4717699.2</c:v>
                </c:pt>
                <c:pt idx="6">
                  <c:v>5024398.8</c:v>
                </c:pt>
                <c:pt idx="7">
                  <c:v>5315899.2</c:v>
                </c:pt>
                <c:pt idx="8">
                  <c:v>5688099.6</c:v>
                </c:pt>
                <c:pt idx="9">
                  <c:v>6057898.8</c:v>
                </c:pt>
                <c:pt idx="10">
                  <c:v>6536498.4</c:v>
                </c:pt>
                <c:pt idx="11">
                  <c:v>7183699.2</c:v>
                </c:pt>
                <c:pt idx="12">
                  <c:v>7794398.4</c:v>
                </c:pt>
                <c:pt idx="13">
                  <c:v>8291498.4</c:v>
                </c:pt>
                <c:pt idx="14">
                  <c:v>9979298.4</c:v>
                </c:pt>
                <c:pt idx="15">
                  <c:v>10334998.8</c:v>
                </c:pt>
                <c:pt idx="16">
                  <c:v>10334998.8</c:v>
                </c:pt>
                <c:pt idx="17">
                  <c:v>14581998</c:v>
                </c:pt>
                <c:pt idx="18">
                  <c:v>14581998</c:v>
                </c:pt>
                <c:pt idx="19">
                  <c:v>23999996.4</c:v>
                </c:pt>
                <c:pt idx="20">
                  <c:v>25247996.4</c:v>
                </c:pt>
                <c:pt idx="21">
                  <c:v>26232696</c:v>
                </c:pt>
                <c:pt idx="22">
                  <c:v>26232996</c:v>
                </c:pt>
                <c:pt idx="23">
                  <c:v>26232996</c:v>
                </c:pt>
                <c:pt idx="24">
                  <c:v>26232996</c:v>
                </c:pt>
                <c:pt idx="25">
                  <c:v>27177996</c:v>
                </c:pt>
                <c:pt idx="26">
                  <c:v>26634996</c:v>
                </c:pt>
                <c:pt idx="27">
                  <c:v>26768995.2</c:v>
                </c:pt>
                <c:pt idx="28">
                  <c:v>27208995.6</c:v>
                </c:pt>
                <c:pt idx="29">
                  <c:v>26664996</c:v>
                </c:pt>
                <c:pt idx="30">
                  <c:v>27064995.6</c:v>
                </c:pt>
                <c:pt idx="31">
                  <c:v>27335995.2</c:v>
                </c:pt>
                <c:pt idx="32">
                  <c:v>27609996</c:v>
                </c:pt>
                <c:pt idx="33">
                  <c:v>27609996</c:v>
                </c:pt>
                <c:pt idx="34">
                  <c:v>27898995.6</c:v>
                </c:pt>
                <c:pt idx="35">
                  <c:v>28317996</c:v>
                </c:pt>
                <c:pt idx="36">
                  <c:v>29167995.6</c:v>
                </c:pt>
                <c:pt idx="37">
                  <c:v>32668994.4</c:v>
                </c:pt>
                <c:pt idx="38">
                  <c:v>32832994.8</c:v>
                </c:pt>
                <c:pt idx="39">
                  <c:v>34014994.8</c:v>
                </c:pt>
                <c:pt idx="40">
                  <c:v>35715994.8</c:v>
                </c:pt>
                <c:pt idx="41">
                  <c:v>36301994.4</c:v>
                </c:pt>
                <c:pt idx="42">
                  <c:v>36669993.6</c:v>
                </c:pt>
                <c:pt idx="43">
                  <c:v>36859994.4</c:v>
                </c:pt>
                <c:pt idx="44">
                  <c:v>36859994.4</c:v>
                </c:pt>
                <c:pt idx="45">
                  <c:v>37049994</c:v>
                </c:pt>
                <c:pt idx="46">
                  <c:v>37429994.4</c:v>
                </c:pt>
                <c:pt idx="47">
                  <c:v>38009994</c:v>
                </c:pt>
              </c:numCache>
            </c:numRef>
          </c:val>
          <c:smooth val="1"/>
        </c:ser>
        <c:hiLowLines>
          <c:spPr>
            <a:ln w="0">
              <a:noFill/>
            </a:ln>
          </c:spPr>
        </c:hiLowLines>
        <c:marker val="0"/>
        <c:axId val="77813861"/>
        <c:axId val="25663754"/>
      </c:lineChart>
      <c:catAx>
        <c:axId val="7781386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Cuota 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663754"/>
        <c:crosses val="autoZero"/>
        <c:auto val="1"/>
        <c:lblAlgn val="ctr"/>
        <c:lblOffset val="100"/>
        <c:noMultiLvlLbl val="0"/>
      </c:catAx>
      <c:valAx>
        <c:axId val="2566375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Valor del móvil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81386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5</xdr:row>
      <xdr:rowOff>67320</xdr:rowOff>
    </xdr:from>
    <xdr:to>
      <xdr:col>18</xdr:col>
      <xdr:colOff>364680</xdr:colOff>
      <xdr:row>19</xdr:row>
      <xdr:rowOff>167400</xdr:rowOff>
    </xdr:to>
    <xdr:graphicFrame>
      <xdr:nvGraphicFramePr>
        <xdr:cNvPr id="0" name="Chart 1"/>
        <xdr:cNvGraphicFramePr/>
      </xdr:nvGraphicFramePr>
      <xdr:xfrm>
        <a:off x="7941960" y="114300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16"/>
    <col collapsed="false" customWidth="true" hidden="false" outlineLevel="0" max="4" min="4" style="0" width="18"/>
    <col collapsed="false" customWidth="true" hidden="false" outlineLevel="0" max="7" min="5" style="0" width="16"/>
  </cols>
  <sheetData>
    <row r="1" customFormat="false" ht="17.35" hidden="false" customHeight="false" outlineLevel="0" collapsed="false">
      <c r="A1" s="1" t="s">
        <v>0</v>
      </c>
      <c r="B1" s="1"/>
      <c r="C1" s="1"/>
      <c r="D1" s="1"/>
      <c r="E1" s="1"/>
      <c r="F1" s="1"/>
      <c r="G1" s="1"/>
    </row>
    <row r="2" customFormat="false" ht="15" hidden="false" customHeight="false" outlineLevel="0" collapsed="false">
      <c r="A2" s="2" t="s">
        <v>1</v>
      </c>
      <c r="B2" s="2"/>
      <c r="C2" s="2"/>
      <c r="D2" s="2"/>
      <c r="E2" s="2"/>
      <c r="F2" s="2"/>
      <c r="G2" s="2"/>
    </row>
    <row r="4" customFormat="false" ht="15" hidden="false" customHeight="true" outlineLevel="0" collapsed="false">
      <c r="A4" s="3" t="s">
        <v>2</v>
      </c>
      <c r="B4" s="4" t="n">
        <v>84</v>
      </c>
      <c r="C4" s="5" t="s">
        <v>3</v>
      </c>
      <c r="D4" s="5"/>
      <c r="E4" s="5"/>
      <c r="F4" s="5"/>
      <c r="G4" s="5"/>
    </row>
    <row r="5" customFormat="false" ht="22.35" hidden="false" customHeight="true" outlineLevel="0" collapsed="false">
      <c r="A5" s="3" t="s">
        <v>4</v>
      </c>
      <c r="B5" s="6" t="n">
        <v>0.7</v>
      </c>
      <c r="C5" s="5" t="s">
        <v>5</v>
      </c>
      <c r="D5" s="5"/>
      <c r="E5" s="5"/>
      <c r="F5" s="5"/>
      <c r="G5" s="5"/>
    </row>
    <row r="7" customFormat="false" ht="23.85" hidden="false" customHeight="false" outlineLevel="0" collapsed="false">
      <c r="A7" s="7" t="s">
        <v>6</v>
      </c>
      <c r="B7" s="7" t="s">
        <v>7</v>
      </c>
      <c r="C7" s="7" t="s">
        <v>8</v>
      </c>
      <c r="D7" s="7" t="s">
        <v>9</v>
      </c>
      <c r="E7" s="7" t="s">
        <v>10</v>
      </c>
      <c r="F7" s="7" t="s">
        <v>11</v>
      </c>
      <c r="G7" s="7" t="s">
        <v>12</v>
      </c>
    </row>
    <row r="8" customFormat="false" ht="15" hidden="false" customHeight="false" outlineLevel="0" collapsed="false">
      <c r="A8" s="8" t="n">
        <v>2</v>
      </c>
      <c r="B8" s="9" t="n">
        <v>44774</v>
      </c>
      <c r="C8" s="10" t="n">
        <v>30817.5</v>
      </c>
      <c r="D8" s="11" t="n">
        <f aca="false">C8*$B$4/$B$5</f>
        <v>3698100</v>
      </c>
      <c r="E8" s="12" t="n">
        <f aca="false">C8/D8</f>
        <v>0.00833333333333333</v>
      </c>
      <c r="F8" s="13" t="n">
        <f aca="false">A8*$B$5/$B$4</f>
        <v>0.0166666666666667</v>
      </c>
      <c r="G8" s="10" t="n">
        <v>43509.15</v>
      </c>
    </row>
    <row r="9" customFormat="false" ht="15" hidden="false" customHeight="false" outlineLevel="0" collapsed="false">
      <c r="A9" s="8" t="n">
        <v>3</v>
      </c>
      <c r="B9" s="9" t="n">
        <v>44805</v>
      </c>
      <c r="C9" s="10" t="n">
        <v>31588.33</v>
      </c>
      <c r="D9" s="11" t="n">
        <f aca="false">C9*$B$4/$B$5</f>
        <v>3790599.6</v>
      </c>
      <c r="E9" s="12" t="n">
        <f aca="false">C9/D9</f>
        <v>0.00833333333333333</v>
      </c>
      <c r="F9" s="13" t="n">
        <f aca="false">A9*$B$5/$B$4</f>
        <v>0.025</v>
      </c>
      <c r="G9" s="10" t="n">
        <v>44602.75</v>
      </c>
    </row>
    <row r="10" customFormat="false" ht="15" hidden="false" customHeight="false" outlineLevel="0" collapsed="false">
      <c r="A10" s="8" t="n">
        <v>4</v>
      </c>
      <c r="B10" s="9" t="n">
        <v>44835</v>
      </c>
      <c r="C10" s="10" t="n">
        <v>33009.99</v>
      </c>
      <c r="D10" s="11" t="n">
        <f aca="false">C10*$B$4/$B$5</f>
        <v>3961198.8</v>
      </c>
      <c r="E10" s="12" t="n">
        <f aca="false">C10/D10</f>
        <v>0.00833333333333333</v>
      </c>
      <c r="F10" s="13" t="n">
        <f aca="false">A10*$B$5/$B$4</f>
        <v>0.0333333333333333</v>
      </c>
      <c r="G10" s="10" t="n">
        <v>46921.33</v>
      </c>
    </row>
    <row r="11" customFormat="false" ht="15" hidden="false" customHeight="false" outlineLevel="0" collapsed="false">
      <c r="A11" s="8" t="n">
        <v>5</v>
      </c>
      <c r="B11" s="9" t="n">
        <v>44866</v>
      </c>
      <c r="C11" s="10" t="n">
        <v>34499.16</v>
      </c>
      <c r="D11" s="11" t="n">
        <f aca="false">C11*$B$4/$B$5</f>
        <v>4139899.2</v>
      </c>
      <c r="E11" s="12" t="n">
        <f aca="false">C11/D11</f>
        <v>0.00833333333333333</v>
      </c>
      <c r="F11" s="13" t="n">
        <f aca="false">A11*$B$5/$B$4</f>
        <v>0.0416666666666667</v>
      </c>
      <c r="G11" s="10" t="n">
        <v>49059.9</v>
      </c>
    </row>
    <row r="12" customFormat="false" ht="15" hidden="false" customHeight="false" outlineLevel="0" collapsed="false">
      <c r="A12" s="8" t="n">
        <v>6</v>
      </c>
      <c r="B12" s="9" t="n">
        <v>44896</v>
      </c>
      <c r="C12" s="10" t="n">
        <v>36741.66</v>
      </c>
      <c r="D12" s="11" t="n">
        <f aca="false">C12*$B$4/$B$5</f>
        <v>4408999.2</v>
      </c>
      <c r="E12" s="12" t="n">
        <f aca="false">C12/D12</f>
        <v>0.00833333333333333</v>
      </c>
      <c r="F12" s="13" t="n">
        <f aca="false">A12*$B$5/$B$4</f>
        <v>0.05</v>
      </c>
      <c r="G12" s="10" t="n">
        <v>52294.19</v>
      </c>
    </row>
    <row r="13" customFormat="false" ht="15" hidden="false" customHeight="false" outlineLevel="0" collapsed="false">
      <c r="A13" s="8" t="n">
        <v>7</v>
      </c>
      <c r="B13" s="9" t="n">
        <v>44927</v>
      </c>
      <c r="C13" s="10" t="n">
        <v>39314.16</v>
      </c>
      <c r="D13" s="11" t="n">
        <f aca="false">C13*$B$4/$B$5</f>
        <v>4717699.2</v>
      </c>
      <c r="E13" s="12" t="n">
        <f aca="false">C13/D13</f>
        <v>0.00833333333333333</v>
      </c>
      <c r="F13" s="13" t="n">
        <f aca="false">A13*$B$5/$B$4</f>
        <v>0.0583333333333333</v>
      </c>
      <c r="G13" s="10" t="n">
        <v>56003.29</v>
      </c>
    </row>
    <row r="14" customFormat="false" ht="15" hidden="false" customHeight="false" outlineLevel="0" collapsed="false">
      <c r="A14" s="8" t="n">
        <v>8</v>
      </c>
      <c r="B14" s="9" t="n">
        <v>44958</v>
      </c>
      <c r="C14" s="10" t="n">
        <v>41869.99</v>
      </c>
      <c r="D14" s="11" t="n">
        <f aca="false">C14*$B$4/$B$5</f>
        <v>5024398.8</v>
      </c>
      <c r="E14" s="12" t="n">
        <f aca="false">C14/D14</f>
        <v>0.00833333333333333</v>
      </c>
      <c r="F14" s="13" t="n">
        <f aca="false">A14*$B$5/$B$4</f>
        <v>0.0666666666666667</v>
      </c>
      <c r="G14" s="10" t="n">
        <v>59692.19</v>
      </c>
    </row>
    <row r="15" customFormat="false" ht="15" hidden="false" customHeight="false" outlineLevel="0" collapsed="false">
      <c r="A15" s="8" t="n">
        <v>9</v>
      </c>
      <c r="B15" s="9" t="n">
        <v>44986</v>
      </c>
      <c r="C15" s="10" t="n">
        <v>44299.16</v>
      </c>
      <c r="D15" s="11" t="n">
        <f aca="false">C15*$B$4/$B$5</f>
        <v>5315899.2</v>
      </c>
      <c r="E15" s="12" t="n">
        <f aca="false">C15/D15</f>
        <v>0.00833333333333333</v>
      </c>
      <c r="F15" s="13" t="n">
        <f aca="false">A15*$B$5/$B$4</f>
        <v>0.075</v>
      </c>
      <c r="G15" s="10" t="n">
        <v>63191.59</v>
      </c>
    </row>
    <row r="16" customFormat="false" ht="15" hidden="false" customHeight="false" outlineLevel="0" collapsed="false">
      <c r="A16" s="8" t="n">
        <v>10</v>
      </c>
      <c r="B16" s="9" t="n">
        <v>45017</v>
      </c>
      <c r="C16" s="10" t="n">
        <v>47400.83</v>
      </c>
      <c r="D16" s="11" t="n">
        <f aca="false">C16*$B$4/$B$5</f>
        <v>5688099.6</v>
      </c>
      <c r="E16" s="12" t="n">
        <f aca="false">C16/D16</f>
        <v>0.00833333333333333</v>
      </c>
      <c r="F16" s="13" t="n">
        <f aca="false">A16*$B$5/$B$4</f>
        <v>0.0833333333333333</v>
      </c>
      <c r="G16" s="10" t="n">
        <v>67661.51</v>
      </c>
    </row>
    <row r="17" customFormat="false" ht="15" hidden="false" customHeight="false" outlineLevel="0" collapsed="false">
      <c r="A17" s="8" t="n">
        <v>11</v>
      </c>
      <c r="B17" s="9" t="n">
        <v>45047</v>
      </c>
      <c r="C17" s="10" t="n">
        <v>50482.49</v>
      </c>
      <c r="D17" s="11" t="n">
        <f aca="false">C17*$B$4/$B$5</f>
        <v>6057898.8</v>
      </c>
      <c r="E17" s="12" t="n">
        <f aca="false">C17/D17</f>
        <v>0.00833333333333333</v>
      </c>
      <c r="F17" s="13" t="n">
        <f aca="false">A17*$B$5/$B$4</f>
        <v>0.0916666666666667</v>
      </c>
      <c r="G17" s="10" t="n">
        <v>72095.58</v>
      </c>
    </row>
    <row r="18" customFormat="false" ht="15" hidden="false" customHeight="false" outlineLevel="0" collapsed="false">
      <c r="A18" s="8" t="n">
        <v>12</v>
      </c>
      <c r="B18" s="9" t="n">
        <v>45078</v>
      </c>
      <c r="C18" s="10" t="n">
        <v>54470.82</v>
      </c>
      <c r="D18" s="11" t="n">
        <f aca="false">C18*$B$4/$B$5</f>
        <v>6536498.4</v>
      </c>
      <c r="E18" s="12" t="n">
        <f aca="false">C18/D18</f>
        <v>0.00833333333333333</v>
      </c>
      <c r="F18" s="13" t="n">
        <f aca="false">A18*$B$5/$B$4</f>
        <v>0.1</v>
      </c>
      <c r="G18" s="10" t="n">
        <v>82677.01</v>
      </c>
    </row>
    <row r="19" customFormat="false" ht="15" hidden="false" customHeight="false" outlineLevel="0" collapsed="false">
      <c r="A19" s="8" t="n">
        <v>13</v>
      </c>
      <c r="B19" s="9" t="n">
        <v>45108</v>
      </c>
      <c r="C19" s="10" t="n">
        <v>59864.16</v>
      </c>
      <c r="D19" s="11" t="n">
        <f aca="false">C19*$B$4/$B$5</f>
        <v>7183699.2</v>
      </c>
      <c r="E19" s="12" t="n">
        <f aca="false">C19/D19</f>
        <v>0.00833333333333333</v>
      </c>
      <c r="F19" s="13" t="n">
        <f aca="false">A19*$B$5/$B$4</f>
        <v>0.108333333333333</v>
      </c>
      <c r="G19" s="10" t="n">
        <v>85601.92</v>
      </c>
    </row>
    <row r="20" customFormat="false" ht="15" hidden="false" customHeight="false" outlineLevel="0" collapsed="false">
      <c r="A20" s="8" t="n">
        <v>14</v>
      </c>
      <c r="B20" s="9" t="n">
        <v>45139</v>
      </c>
      <c r="C20" s="10" t="n">
        <v>64953.32</v>
      </c>
      <c r="D20" s="11" t="n">
        <f aca="false">C20*$B$4/$B$5</f>
        <v>7794398.4</v>
      </c>
      <c r="E20" s="12" t="n">
        <f aca="false">C20/D20</f>
        <v>0.00833333333333333</v>
      </c>
      <c r="F20" s="13" t="n">
        <f aca="false">A20*$B$5/$B$4</f>
        <v>0.116666666666667</v>
      </c>
      <c r="G20" s="10" t="n">
        <v>92965.21</v>
      </c>
    </row>
    <row r="21" customFormat="false" ht="15" hidden="false" customHeight="false" outlineLevel="0" collapsed="false">
      <c r="A21" s="8" t="n">
        <v>15</v>
      </c>
      <c r="B21" s="9" t="n">
        <v>45170</v>
      </c>
      <c r="C21" s="10" t="n">
        <v>69095.82</v>
      </c>
      <c r="D21" s="11" t="n">
        <f aca="false">C21*$B$4/$B$5</f>
        <v>8291498.4</v>
      </c>
      <c r="E21" s="12" t="n">
        <f aca="false">C21/D21</f>
        <v>0.00833333333333333</v>
      </c>
      <c r="F21" s="13" t="n">
        <f aca="false">A21*$B$5/$B$4</f>
        <v>0.125</v>
      </c>
      <c r="G21" s="10" t="n">
        <v>98891.66</v>
      </c>
    </row>
    <row r="22" customFormat="false" ht="15" hidden="false" customHeight="false" outlineLevel="0" collapsed="false">
      <c r="A22" s="8" t="n">
        <v>16</v>
      </c>
      <c r="B22" s="9" t="n">
        <v>45200</v>
      </c>
      <c r="C22" s="10" t="n">
        <v>83160.82</v>
      </c>
      <c r="D22" s="11" t="n">
        <f aca="false">C22*$B$4/$B$5</f>
        <v>9979298.4</v>
      </c>
      <c r="E22" s="12" t="n">
        <f aca="false">C22/D22</f>
        <v>0.00833333333333333</v>
      </c>
      <c r="F22" s="13" t="n">
        <f aca="false">A22*$B$5/$B$4</f>
        <v>0.133333333333333</v>
      </c>
      <c r="G22" s="10" t="n">
        <v>119140.89</v>
      </c>
    </row>
    <row r="23" customFormat="false" ht="15" hidden="false" customHeight="false" outlineLevel="0" collapsed="false">
      <c r="A23" s="8" t="n">
        <v>17</v>
      </c>
      <c r="B23" s="9" t="n">
        <v>45231</v>
      </c>
      <c r="C23" s="10" t="n">
        <v>86124.99</v>
      </c>
      <c r="D23" s="11" t="n">
        <f aca="false">C23*$B$4/$B$5</f>
        <v>10334998.8</v>
      </c>
      <c r="E23" s="12" t="n">
        <f aca="false">C23/D23</f>
        <v>0.00833333333333333</v>
      </c>
      <c r="F23" s="13" t="n">
        <f aca="false">A23*$B$5/$B$4</f>
        <v>0.141666666666667</v>
      </c>
      <c r="G23" s="10" t="n">
        <v>123372.61</v>
      </c>
    </row>
    <row r="24" customFormat="false" ht="15" hidden="false" customHeight="false" outlineLevel="0" collapsed="false">
      <c r="A24" s="8" t="n">
        <v>18</v>
      </c>
      <c r="B24" s="9" t="n">
        <v>45261</v>
      </c>
      <c r="C24" s="10" t="n">
        <v>86124.99</v>
      </c>
      <c r="D24" s="11" t="n">
        <f aca="false">C24*$B$4/$B$5</f>
        <v>10334998.8</v>
      </c>
      <c r="E24" s="12" t="n">
        <f aca="false">C24/D24</f>
        <v>0.00833333333333333</v>
      </c>
      <c r="F24" s="13" t="n">
        <f aca="false">A24*$B$5/$B$4</f>
        <v>0.15</v>
      </c>
      <c r="G24" s="10" t="n">
        <v>123413.18</v>
      </c>
    </row>
    <row r="25" customFormat="false" ht="15" hidden="false" customHeight="false" outlineLevel="0" collapsed="false">
      <c r="A25" s="8" t="n">
        <v>19</v>
      </c>
      <c r="B25" s="9" t="n">
        <v>45292</v>
      </c>
      <c r="C25" s="10" t="n">
        <v>121516.65</v>
      </c>
      <c r="D25" s="11" t="n">
        <f aca="false">C25*$B$4/$B$5</f>
        <v>14581998</v>
      </c>
      <c r="E25" s="12" t="n">
        <f aca="false">C25/D25</f>
        <v>0.00833333333333333</v>
      </c>
      <c r="F25" s="13" t="n">
        <f aca="false">A25*$B$5/$B$4</f>
        <v>0.158333333333333</v>
      </c>
      <c r="G25" s="10" t="n">
        <v>70794.43</v>
      </c>
    </row>
    <row r="26" customFormat="false" ht="15" hidden="false" customHeight="false" outlineLevel="0" collapsed="false">
      <c r="A26" s="8" t="n">
        <v>20</v>
      </c>
      <c r="B26" s="9" t="n">
        <v>45323</v>
      </c>
      <c r="C26" s="10" t="n">
        <v>121516.65</v>
      </c>
      <c r="D26" s="11" t="n">
        <f aca="false">C26*$B$4/$B$5</f>
        <v>14581998</v>
      </c>
      <c r="E26" s="12" t="n">
        <f aca="false">C26/D26</f>
        <v>0.00833333333333333</v>
      </c>
      <c r="F26" s="13" t="n">
        <f aca="false">A26*$B$5/$B$4</f>
        <v>0.166666666666667</v>
      </c>
      <c r="G26" s="10" t="n">
        <v>182100.5</v>
      </c>
    </row>
    <row r="27" customFormat="false" ht="15" hidden="false" customHeight="false" outlineLevel="0" collapsed="false">
      <c r="A27" s="8" t="n">
        <v>21</v>
      </c>
      <c r="B27" s="9" t="n">
        <v>45352</v>
      </c>
      <c r="C27" s="10" t="n">
        <v>199999.97</v>
      </c>
      <c r="D27" s="11" t="n">
        <f aca="false">C27*$B$4/$B$5</f>
        <v>23999996.4</v>
      </c>
      <c r="E27" s="12" t="n">
        <f aca="false">C27/D27</f>
        <v>0.00833333333333333</v>
      </c>
      <c r="F27" s="13" t="n">
        <f aca="false">A27*$B$5/$B$4</f>
        <v>0.175</v>
      </c>
      <c r="G27" s="10" t="n">
        <v>242413.15</v>
      </c>
    </row>
    <row r="28" customFormat="false" ht="15" hidden="false" customHeight="false" outlineLevel="0" collapsed="false">
      <c r="A28" s="8" t="n">
        <v>22</v>
      </c>
      <c r="B28" s="9" t="n">
        <v>45383</v>
      </c>
      <c r="C28" s="10" t="n">
        <v>210399.97</v>
      </c>
      <c r="D28" s="11" t="n">
        <f aca="false">C28*$B$4/$B$5</f>
        <v>25247996.4</v>
      </c>
      <c r="E28" s="12" t="n">
        <f aca="false">C28/D28</f>
        <v>0.00833333333333333</v>
      </c>
      <c r="F28" s="13" t="n">
        <f aca="false">A28*$B$5/$B$4</f>
        <v>0.183333333333333</v>
      </c>
      <c r="G28" s="10" t="n">
        <v>282334.9</v>
      </c>
    </row>
    <row r="29" customFormat="false" ht="15" hidden="false" customHeight="false" outlineLevel="0" collapsed="false">
      <c r="A29" s="8" t="n">
        <v>23</v>
      </c>
      <c r="B29" s="9" t="n">
        <v>45413</v>
      </c>
      <c r="C29" s="10" t="n">
        <v>218605.8</v>
      </c>
      <c r="D29" s="11" t="n">
        <f aca="false">C29*$B$4/$B$5</f>
        <v>26232696</v>
      </c>
      <c r="E29" s="12" t="n">
        <f aca="false">C29/D29</f>
        <v>0.00833333333333333</v>
      </c>
      <c r="F29" s="13" t="n">
        <f aca="false">A29*$B$5/$B$4</f>
        <v>0.191666666666667</v>
      </c>
      <c r="G29" s="10" t="n">
        <v>316855.27</v>
      </c>
    </row>
    <row r="30" customFormat="false" ht="15" hidden="false" customHeight="false" outlineLevel="0" collapsed="false">
      <c r="A30" s="8" t="n">
        <v>24</v>
      </c>
      <c r="B30" s="9" t="n">
        <v>45444</v>
      </c>
      <c r="C30" s="10" t="n">
        <v>218608.3</v>
      </c>
      <c r="D30" s="11" t="n">
        <f aca="false">C30*$B$4/$B$5</f>
        <v>26232996</v>
      </c>
      <c r="E30" s="12" t="n">
        <f aca="false">C30/D30</f>
        <v>0.00833333333333333</v>
      </c>
      <c r="F30" s="13" t="n">
        <f aca="false">A30*$B$5/$B$4</f>
        <v>0.2</v>
      </c>
      <c r="G30" s="10" t="n">
        <v>342375.14</v>
      </c>
    </row>
    <row r="31" customFormat="false" ht="15" hidden="false" customHeight="false" outlineLevel="0" collapsed="false">
      <c r="A31" s="8" t="n">
        <v>25</v>
      </c>
      <c r="B31" s="9" t="n">
        <v>45474</v>
      </c>
      <c r="C31" s="10" t="n">
        <v>218608.3</v>
      </c>
      <c r="D31" s="11" t="n">
        <f aca="false">C31*$B$4/$B$5</f>
        <v>26232996</v>
      </c>
      <c r="E31" s="12" t="n">
        <f aca="false">C31/D31</f>
        <v>0.00833333333333333</v>
      </c>
      <c r="F31" s="13" t="n">
        <f aca="false">A31*$B$5/$B$4</f>
        <v>0.208333333333333</v>
      </c>
      <c r="G31" s="10" t="n">
        <v>310220.77</v>
      </c>
    </row>
    <row r="32" customFormat="false" ht="15" hidden="false" customHeight="false" outlineLevel="0" collapsed="false">
      <c r="A32" s="8" t="n">
        <v>26</v>
      </c>
      <c r="B32" s="9" t="n">
        <v>45505</v>
      </c>
      <c r="C32" s="10" t="n">
        <v>218608.3</v>
      </c>
      <c r="D32" s="11" t="n">
        <f aca="false">C32*$B$4/$B$5</f>
        <v>26232996</v>
      </c>
      <c r="E32" s="12" t="n">
        <f aca="false">C32/D32</f>
        <v>0.00833333333333333</v>
      </c>
      <c r="F32" s="13" t="n">
        <f aca="false">A32*$B$5/$B$4</f>
        <v>0.216666666666667</v>
      </c>
      <c r="G32" s="10" t="n">
        <v>330694.81</v>
      </c>
    </row>
    <row r="33" customFormat="false" ht="15" hidden="false" customHeight="false" outlineLevel="0" collapsed="false">
      <c r="A33" s="8" t="n">
        <v>27</v>
      </c>
      <c r="B33" s="9" t="n">
        <v>45536</v>
      </c>
      <c r="C33" s="10" t="n">
        <v>226483.3</v>
      </c>
      <c r="D33" s="11" t="n">
        <f aca="false">C33*$B$4/$B$5</f>
        <v>27177996</v>
      </c>
      <c r="E33" s="12" t="n">
        <f aca="false">C33/D33</f>
        <v>0.00833333333333333</v>
      </c>
      <c r="F33" s="13" t="n">
        <f aca="false">A33*$B$5/$B$4</f>
        <v>0.225</v>
      </c>
      <c r="G33" s="10" t="n">
        <v>346806.72</v>
      </c>
    </row>
    <row r="34" customFormat="false" ht="15" hidden="false" customHeight="false" outlineLevel="0" collapsed="false">
      <c r="A34" s="8" t="n">
        <v>28</v>
      </c>
      <c r="B34" s="9" t="n">
        <v>45566</v>
      </c>
      <c r="C34" s="10" t="n">
        <v>221958.3</v>
      </c>
      <c r="D34" s="11" t="n">
        <f aca="false">C34*$B$4/$B$5</f>
        <v>26634996</v>
      </c>
      <c r="E34" s="12" t="n">
        <f aca="false">C34/D34</f>
        <v>0.00833333333333333</v>
      </c>
      <c r="F34" s="13" t="n">
        <f aca="false">A34*$B$5/$B$4</f>
        <v>0.233333333333333</v>
      </c>
      <c r="G34" s="10" t="n">
        <v>286059.61</v>
      </c>
    </row>
    <row r="35" customFormat="false" ht="15" hidden="false" customHeight="false" outlineLevel="0" collapsed="false">
      <c r="A35" s="8" t="n">
        <v>29</v>
      </c>
      <c r="B35" s="9" t="n">
        <v>45597</v>
      </c>
      <c r="C35" s="10" t="n">
        <v>223074.96</v>
      </c>
      <c r="D35" s="11" t="n">
        <f aca="false">C35*$B$4/$B$5</f>
        <v>26768995.2</v>
      </c>
      <c r="E35" s="12" t="n">
        <f aca="false">C35/D35</f>
        <v>0.00833333333333333</v>
      </c>
      <c r="F35" s="13" t="n">
        <f aca="false">A35*$B$5/$B$4</f>
        <v>0.241666666666667</v>
      </c>
      <c r="G35" s="10" t="n">
        <v>267817.8</v>
      </c>
    </row>
    <row r="36" customFormat="false" ht="15" hidden="false" customHeight="false" outlineLevel="0" collapsed="false">
      <c r="A36" s="8" t="n">
        <v>30</v>
      </c>
      <c r="B36" s="9" t="n">
        <v>45627</v>
      </c>
      <c r="C36" s="10" t="n">
        <v>226741.63</v>
      </c>
      <c r="D36" s="11" t="n">
        <f aca="false">C36*$B$4/$B$5</f>
        <v>27208995.6</v>
      </c>
      <c r="E36" s="12" t="n">
        <f aca="false">C36/D36</f>
        <v>0.00833333333333333</v>
      </c>
      <c r="F36" s="13" t="n">
        <f aca="false">A36*$B$5/$B$4</f>
        <v>0.25</v>
      </c>
      <c r="G36" s="10" t="n">
        <v>271571.27</v>
      </c>
    </row>
    <row r="37" customFormat="false" ht="15" hidden="false" customHeight="false" outlineLevel="0" collapsed="false">
      <c r="A37" s="8" t="n">
        <v>31</v>
      </c>
      <c r="B37" s="9" t="n">
        <v>45658</v>
      </c>
      <c r="C37" s="10" t="n">
        <v>222208.3</v>
      </c>
      <c r="D37" s="11" t="n">
        <f aca="false">C37*$B$4/$B$5</f>
        <v>26664996</v>
      </c>
      <c r="E37" s="12" t="n">
        <f aca="false">C37/D37</f>
        <v>0.00833333333333333</v>
      </c>
      <c r="F37" s="13" t="n">
        <f aca="false">A37*$B$5/$B$4</f>
        <v>0.258333333333333</v>
      </c>
      <c r="G37" s="10" t="n">
        <v>265885.08</v>
      </c>
    </row>
    <row r="38" customFormat="false" ht="15" hidden="false" customHeight="false" outlineLevel="0" collapsed="false">
      <c r="A38" s="8" t="n">
        <v>32</v>
      </c>
      <c r="B38" s="9" t="n">
        <v>45689</v>
      </c>
      <c r="C38" s="10" t="n">
        <v>225541.63</v>
      </c>
      <c r="D38" s="11" t="n">
        <f aca="false">C38*$B$4/$B$5</f>
        <v>27064995.6</v>
      </c>
      <c r="E38" s="12" t="n">
        <f aca="false">C38/D38</f>
        <v>0.00833333333333333</v>
      </c>
      <c r="F38" s="13" t="n">
        <f aca="false">A38*$B$5/$B$4</f>
        <v>0.266666666666667</v>
      </c>
      <c r="G38" s="10" t="n">
        <v>269706.68</v>
      </c>
    </row>
    <row r="39" customFormat="false" ht="15" hidden="false" customHeight="false" outlineLevel="0" collapsed="false">
      <c r="A39" s="8" t="n">
        <v>33</v>
      </c>
      <c r="B39" s="9" t="n">
        <v>45717</v>
      </c>
      <c r="C39" s="10" t="n">
        <v>227799.96</v>
      </c>
      <c r="D39" s="11" t="n">
        <f aca="false">C39*$B$4/$B$5</f>
        <v>27335995.2</v>
      </c>
      <c r="E39" s="12" t="n">
        <f aca="false">C39/D39</f>
        <v>0.00833333333333333</v>
      </c>
      <c r="F39" s="13" t="n">
        <f aca="false">A39*$B$5/$B$4</f>
        <v>0.275</v>
      </c>
      <c r="G39" s="10" t="n">
        <v>272177.55</v>
      </c>
    </row>
    <row r="40" customFormat="false" ht="15" hidden="false" customHeight="false" outlineLevel="0" collapsed="false">
      <c r="A40" s="8" t="n">
        <v>34</v>
      </c>
      <c r="B40" s="9" t="n">
        <v>45748</v>
      </c>
      <c r="C40" s="10" t="n">
        <v>230083.3</v>
      </c>
      <c r="D40" s="11" t="n">
        <f aca="false">C40*$B$4/$B$5</f>
        <v>27609996</v>
      </c>
      <c r="E40" s="12" t="n">
        <f aca="false">C40/D40</f>
        <v>0.00833333333333333</v>
      </c>
      <c r="F40" s="13" t="n">
        <f aca="false">A40*$B$5/$B$4</f>
        <v>0.283333333333333</v>
      </c>
      <c r="G40" s="10" t="n">
        <v>274742.21</v>
      </c>
    </row>
    <row r="41" customFormat="false" ht="15" hidden="false" customHeight="false" outlineLevel="0" collapsed="false">
      <c r="A41" s="8" t="n">
        <v>35</v>
      </c>
      <c r="B41" s="9" t="n">
        <v>45778</v>
      </c>
      <c r="C41" s="10" t="n">
        <v>230083.3</v>
      </c>
      <c r="D41" s="11" t="n">
        <f aca="false">C41*$B$4/$B$5</f>
        <v>27609996</v>
      </c>
      <c r="E41" s="12" t="n">
        <f aca="false">C41/D41</f>
        <v>0.00833333333333333</v>
      </c>
      <c r="F41" s="13" t="n">
        <f aca="false">A41*$B$5/$B$4</f>
        <v>0.291666666666667</v>
      </c>
      <c r="G41" s="10" t="n">
        <v>274588.6</v>
      </c>
    </row>
    <row r="42" customFormat="false" ht="15" hidden="false" customHeight="false" outlineLevel="0" collapsed="false">
      <c r="A42" s="8" t="n">
        <v>36</v>
      </c>
      <c r="B42" s="9" t="n">
        <v>45809</v>
      </c>
      <c r="C42" s="10" t="n">
        <v>232491.63</v>
      </c>
      <c r="D42" s="11" t="n">
        <f aca="false">C42*$B$4/$B$5</f>
        <v>27898995.6</v>
      </c>
      <c r="E42" s="12" t="n">
        <f aca="false">C42/D42</f>
        <v>0.00833333333333333</v>
      </c>
      <c r="F42" s="13" t="n">
        <f aca="false">A42*$B$5/$B$4</f>
        <v>0.3</v>
      </c>
      <c r="G42" s="10" t="n">
        <v>277287.08</v>
      </c>
    </row>
    <row r="43" customFormat="false" ht="15" hidden="false" customHeight="false" outlineLevel="0" collapsed="false">
      <c r="A43" s="8" t="n">
        <v>37</v>
      </c>
      <c r="B43" s="9" t="n">
        <v>45839</v>
      </c>
      <c r="C43" s="10" t="n">
        <v>235983.3</v>
      </c>
      <c r="D43" s="11" t="n">
        <f aca="false">C43*$B$4/$B$5</f>
        <v>28317996</v>
      </c>
      <c r="E43" s="12" t="n">
        <f aca="false">C43/D43</f>
        <v>0.00833333333333333</v>
      </c>
      <c r="F43" s="13" t="n">
        <f aca="false">A43*$B$5/$B$4</f>
        <v>0.308333333333333</v>
      </c>
      <c r="G43" s="10" t="n">
        <v>281244.49</v>
      </c>
    </row>
    <row r="44" customFormat="false" ht="15" hidden="false" customHeight="false" outlineLevel="0" collapsed="false">
      <c r="A44" s="8" t="n">
        <v>38</v>
      </c>
      <c r="B44" s="9" t="n">
        <v>45870</v>
      </c>
      <c r="C44" s="10" t="n">
        <v>243066.63</v>
      </c>
      <c r="D44" s="11" t="n">
        <f aca="false">C44*$B$4/$B$5</f>
        <v>29167995.6</v>
      </c>
      <c r="E44" s="12" t="n">
        <f aca="false">C44/D44</f>
        <v>0.00833333333333333</v>
      </c>
      <c r="F44" s="13" t="n">
        <f aca="false">A44*$B$5/$B$4</f>
        <v>0.316666666666667</v>
      </c>
      <c r="G44" s="10" t="n">
        <v>289471.07</v>
      </c>
    </row>
    <row r="45" customFormat="false" ht="15" hidden="false" customHeight="false" outlineLevel="0" collapsed="false">
      <c r="A45" s="8" t="n">
        <v>39</v>
      </c>
      <c r="B45" s="9" t="n">
        <v>45901</v>
      </c>
      <c r="C45" s="10" t="n">
        <v>272241.62</v>
      </c>
      <c r="D45" s="11" t="n">
        <f aca="false">C45*$B$4/$B$5</f>
        <v>32668994.4</v>
      </c>
      <c r="E45" s="12" t="n">
        <f aca="false">C45/D45</f>
        <v>0.00833333333333333</v>
      </c>
      <c r="F45" s="13" t="n">
        <f aca="false">A45*$B$5/$B$4</f>
        <v>0.325</v>
      </c>
      <c r="G45" s="10" t="n">
        <v>306089.07</v>
      </c>
    </row>
    <row r="46" customFormat="false" ht="15" hidden="false" customHeight="false" outlineLevel="0" collapsed="false">
      <c r="A46" s="8" t="n">
        <v>40</v>
      </c>
      <c r="B46" s="9" t="n">
        <v>45931</v>
      </c>
      <c r="C46" s="10" t="n">
        <v>273608.29</v>
      </c>
      <c r="D46" s="11" t="n">
        <f aca="false">C46*$B$4/$B$5</f>
        <v>32832994.8</v>
      </c>
      <c r="E46" s="12" t="n">
        <f aca="false">C46/D46</f>
        <v>0.00833333333333333</v>
      </c>
      <c r="F46" s="13" t="n">
        <f aca="false">A46*$B$5/$B$4</f>
        <v>0.333333333333333</v>
      </c>
      <c r="G46" s="10" t="n">
        <v>320388.71</v>
      </c>
    </row>
    <row r="47" customFormat="false" ht="15" hidden="false" customHeight="false" outlineLevel="0" collapsed="false">
      <c r="A47" s="8" t="n">
        <v>41</v>
      </c>
      <c r="B47" s="9" t="n">
        <v>45962</v>
      </c>
      <c r="C47" s="10" t="n">
        <v>283458.29</v>
      </c>
      <c r="D47" s="11" t="n">
        <f aca="false">C47*$B$4/$B$5</f>
        <v>34014994.8</v>
      </c>
      <c r="E47" s="12" t="n">
        <f aca="false">C47/D47</f>
        <v>0.00833333333333333</v>
      </c>
      <c r="F47" s="13" t="n">
        <f aca="false">A47*$B$5/$B$4</f>
        <v>0.341666666666667</v>
      </c>
      <c r="G47" s="10" t="n">
        <v>335992.98</v>
      </c>
    </row>
    <row r="48" customFormat="false" ht="15" hidden="false" customHeight="false" outlineLevel="0" collapsed="false">
      <c r="A48" s="8" t="n">
        <v>42</v>
      </c>
      <c r="B48" s="9" t="n">
        <v>45992</v>
      </c>
      <c r="C48" s="10" t="n">
        <v>297633.29</v>
      </c>
      <c r="D48" s="11" t="n">
        <f aca="false">C48*$B$4/$B$5</f>
        <v>35715994.8</v>
      </c>
      <c r="E48" s="12" t="n">
        <f aca="false">C48/D48</f>
        <v>0.00833333333333333</v>
      </c>
      <c r="F48" s="13" t="n">
        <f aca="false">A48*$B$5/$B$4</f>
        <v>0.35</v>
      </c>
      <c r="G48" s="10" t="n">
        <v>354151.34</v>
      </c>
    </row>
    <row r="49" customFormat="false" ht="15" hidden="false" customHeight="false" outlineLevel="0" collapsed="false">
      <c r="A49" s="8" t="n">
        <v>43</v>
      </c>
      <c r="B49" s="9" t="n">
        <v>46023</v>
      </c>
      <c r="C49" s="10" t="n">
        <v>302516.62</v>
      </c>
      <c r="D49" s="11" t="n">
        <f aca="false">C49*$B$4/$B$5</f>
        <v>36301994.4</v>
      </c>
      <c r="E49" s="12" t="n">
        <f aca="false">C49/D49</f>
        <v>0.00833333333333333</v>
      </c>
      <c r="F49" s="13" t="n">
        <f aca="false">A49*$B$5/$B$4</f>
        <v>0.358333333333333</v>
      </c>
      <c r="G49" s="10" t="n">
        <v>371033.31</v>
      </c>
    </row>
    <row r="50" customFormat="false" ht="15" hidden="false" customHeight="false" outlineLevel="0" collapsed="false">
      <c r="A50" s="8" t="n">
        <v>44</v>
      </c>
      <c r="B50" s="9" t="n">
        <v>46054</v>
      </c>
      <c r="C50" s="10" t="n">
        <v>305583.28</v>
      </c>
      <c r="D50" s="11" t="n">
        <f aca="false">C50*$B$4/$B$5</f>
        <v>36669993.6</v>
      </c>
      <c r="E50" s="12" t="n">
        <f aca="false">C50/D50</f>
        <v>0.00833333333333333</v>
      </c>
      <c r="F50" s="13" t="n">
        <f aca="false">A50*$B$5/$B$4</f>
        <v>0.366666666666667</v>
      </c>
      <c r="G50" s="10" t="n">
        <v>376090.53</v>
      </c>
    </row>
    <row r="51" customFormat="false" ht="15" hidden="false" customHeight="false" outlineLevel="0" collapsed="false">
      <c r="A51" s="8" t="n">
        <v>45</v>
      </c>
      <c r="B51" s="9" t="n">
        <v>46082</v>
      </c>
      <c r="C51" s="10" t="n">
        <v>307166.62</v>
      </c>
      <c r="D51" s="11" t="n">
        <f aca="false">C51*$B$4/$B$5</f>
        <v>36859994.4</v>
      </c>
      <c r="E51" s="12" t="n">
        <f aca="false">C51/D51</f>
        <v>0.00833333333333333</v>
      </c>
      <c r="F51" s="13" t="n">
        <f aca="false">A51*$B$5/$B$4</f>
        <v>0.375</v>
      </c>
      <c r="G51" s="10" t="n">
        <v>364346.3</v>
      </c>
    </row>
    <row r="52" customFormat="false" ht="15" hidden="false" customHeight="false" outlineLevel="0" collapsed="false">
      <c r="A52" s="8" t="n">
        <v>46</v>
      </c>
      <c r="B52" s="9" t="n">
        <v>46113</v>
      </c>
      <c r="C52" s="10" t="n">
        <v>307166.62</v>
      </c>
      <c r="D52" s="11" t="n">
        <f aca="false">C52*$B$4/$B$5</f>
        <v>36859994.4</v>
      </c>
      <c r="E52" s="12" t="n">
        <f aca="false">C52/D52</f>
        <v>0.00833333333333333</v>
      </c>
      <c r="F52" s="13" t="n">
        <f aca="false">A52*$B$5/$B$4</f>
        <v>0.383333333333333</v>
      </c>
      <c r="G52" s="10" t="n">
        <v>364151.09</v>
      </c>
    </row>
    <row r="53" customFormat="false" ht="15" hidden="false" customHeight="false" outlineLevel="0" collapsed="false">
      <c r="A53" s="8" t="n">
        <v>47</v>
      </c>
      <c r="B53" s="9" t="n">
        <v>46143</v>
      </c>
      <c r="C53" s="10" t="n">
        <v>308749.95</v>
      </c>
      <c r="D53" s="11" t="n">
        <f aca="false">C53*$B$4/$B$5</f>
        <v>37049994</v>
      </c>
      <c r="E53" s="12" t="n">
        <f aca="false">C53/D53</f>
        <v>0.00833333333333333</v>
      </c>
      <c r="F53" s="13" t="n">
        <f aca="false">A53*$B$5/$B$4</f>
        <v>0.391666666666667</v>
      </c>
      <c r="G53" s="10" t="n">
        <v>365699.98</v>
      </c>
    </row>
    <row r="54" customFormat="false" ht="15" hidden="false" customHeight="false" outlineLevel="0" collapsed="false">
      <c r="A54" s="8" t="n">
        <v>48</v>
      </c>
      <c r="B54" s="9" t="n">
        <v>46174</v>
      </c>
      <c r="C54" s="10" t="n">
        <v>311916.62</v>
      </c>
      <c r="D54" s="11" t="n">
        <f aca="false">C54*$B$4/$B$5</f>
        <v>37429994.4</v>
      </c>
      <c r="E54" s="12" t="n">
        <f aca="false">C54/D54</f>
        <v>0.00833333333333333</v>
      </c>
      <c r="F54" s="13" t="n">
        <f aca="false">A54*$B$5/$B$4</f>
        <v>0.4</v>
      </c>
      <c r="G54" s="10" t="n">
        <v>369190.73</v>
      </c>
    </row>
    <row r="55" customFormat="false" ht="15" hidden="false" customHeight="false" outlineLevel="0" collapsed="false">
      <c r="A55" s="8" t="n">
        <v>49</v>
      </c>
      <c r="B55" s="9" t="n">
        <v>46204</v>
      </c>
      <c r="C55" s="10" t="n">
        <v>316749.95</v>
      </c>
      <c r="D55" s="11" t="n">
        <f aca="false">C55*$B$4/$B$5</f>
        <v>38009994</v>
      </c>
      <c r="E55" s="12" t="n">
        <f aca="false">C55/D55</f>
        <v>0.00833333333333333</v>
      </c>
      <c r="F55" s="13" t="n">
        <f aca="false">A55*$B$5/$B$4</f>
        <v>0.408333333333333</v>
      </c>
      <c r="G55" s="10" t="n">
        <v>374647.8</v>
      </c>
    </row>
    <row r="57" customFormat="false" ht="23.85" hidden="false" customHeight="false" outlineLevel="0" collapsed="false">
      <c r="B57" s="14" t="s">
        <v>13</v>
      </c>
      <c r="C57" s="15" t="n">
        <f aca="false">COUNT(A8:A55)</f>
        <v>48</v>
      </c>
    </row>
    <row r="58" customFormat="false" ht="35.05" hidden="false" customHeight="false" outlineLevel="0" collapsed="false">
      <c r="B58" s="14" t="s">
        <v>14</v>
      </c>
      <c r="C58" s="16" t="n">
        <f aca="false">SUM(C8:C55)</f>
        <v>8453989.52</v>
      </c>
    </row>
    <row r="59" customFormat="false" ht="46.25" hidden="false" customHeight="false" outlineLevel="0" collapsed="false">
      <c r="B59" s="14" t="s">
        <v>15</v>
      </c>
      <c r="C59" s="16" t="n">
        <f aca="false">D55</f>
        <v>38009994</v>
      </c>
    </row>
    <row r="60" customFormat="false" ht="35.05" hidden="false" customHeight="false" outlineLevel="0" collapsed="false">
      <c r="B60" s="14" t="s">
        <v>16</v>
      </c>
      <c r="C60" s="17" t="n">
        <f aca="false">F55</f>
        <v>0.408333333333333</v>
      </c>
    </row>
    <row r="61" customFormat="false" ht="39.55" hidden="false" customHeight="false" outlineLevel="0" collapsed="false">
      <c r="B61" s="18" t="s">
        <v>17</v>
      </c>
      <c r="C61" s="19" t="n">
        <f aca="false">D55*F55</f>
        <v>15520747.55</v>
      </c>
    </row>
    <row r="63" customFormat="false" ht="32.8" hidden="false" customHeight="false" outlineLevel="0" collapsed="false">
      <c r="A63" s="20" t="s">
        <v>18</v>
      </c>
    </row>
    <row r="64" customFormat="false" ht="147.75" hidden="false" customHeight="false" outlineLevel="0" collapsed="false">
      <c r="A64" s="21" t="s">
        <v>19</v>
      </c>
    </row>
    <row r="65" customFormat="false" ht="189.55" hidden="false" customHeight="false" outlineLevel="0" collapsed="false">
      <c r="A65" s="21" t="s">
        <v>20</v>
      </c>
    </row>
    <row r="66" customFormat="false" ht="210.4" hidden="false" customHeight="false" outlineLevel="0" collapsed="false">
      <c r="A66" s="21" t="s">
        <v>21</v>
      </c>
    </row>
    <row r="67" customFormat="false" ht="220.85" hidden="false" customHeight="false" outlineLevel="0" collapsed="false">
      <c r="A67" s="21" t="s">
        <v>22</v>
      </c>
    </row>
    <row r="68" customFormat="false" ht="325.35" hidden="false" customHeight="false" outlineLevel="0" collapsed="false">
      <c r="A68" s="21" t="s">
        <v>23</v>
      </c>
    </row>
  </sheetData>
  <mergeCells count="4">
    <mergeCell ref="A1:G1"/>
    <mergeCell ref="A2:G2"/>
    <mergeCell ref="C4:G4"/>
    <mergeCell ref="C5:G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2026-07-22T20:28:33Z</dcterms:created>
  <dc:creator>openpyxl</dc:creator>
  <dc:description/>
  <dc:language>en-US</dc:language>
  <cp:lastModifiedBy/>
  <dcterms:modified xsi:type="dcterms:W3CDTF">2026-07-22T20:28:44Z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
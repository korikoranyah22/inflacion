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365ad3d1e44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 meses" sheetId="1" r:id="R3ca9b84e6d8d419d"/>
    <x:sheet xmlns:r="http://schemas.openxmlformats.org/officeDocument/2006/relationships" name="12 meses" sheetId="2" r:id="R663f65a01abe484b"/>
    <x:sheet xmlns:r="http://schemas.openxmlformats.org/officeDocument/2006/relationships" name="18 meses" sheetId="3" r:id="R658e5da1bb154a64"/>
    <x:sheet xmlns:r="http://schemas.openxmlformats.org/officeDocument/2006/relationships" name="24 meses" sheetId="4" r:id="Re1e11123df714c72"/>
    <x:sheet xmlns:r="http://schemas.openxmlformats.org/officeDocument/2006/relationships" name="30 meses" sheetId="5" r:id="R37272d6a1d2f425c"/>
    <x:sheet xmlns:r="http://schemas.openxmlformats.org/officeDocument/2006/relationships" name="36 meses" sheetId="6" r:id="Rf99a955a66c64f9d"/>
    <x:sheet xmlns:r="http://schemas.openxmlformats.org/officeDocument/2006/relationships" name="42 meses" sheetId="7" r:id="Rb05a55054a0346b4"/>
    <x:sheet xmlns:r="http://schemas.openxmlformats.org/officeDocument/2006/relationships" name="48 meses" sheetId="8" r:id="Rde212bf05ae64c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;[Red]($#,##0.00);-"/>
    <x:numFmt numFmtId="201" formatCode="0.00"/>
    <x:numFmt numFmtId="202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b/>
      <x:sz val="11"/>
      <x:color rgb="FF0000FF"/>
      <x:name val="Carlito"/>
    </x:font>
    <x:font>
      <x:b/>
      <x:sz val="11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4472C4"/>
      </x:patternFill>
    </x:fill>
  </x:fills>
  <x:borders count="10">
    <x:border/>
    <x:border/>
    <x:border>
      <x:bottom style="thin">
        <x:color rgb="FFA6A6A6"/>
      </x:bottom>
    </x:border>
    <x:border>
      <x:bottom style="thin">
        <x:color rgb="FFA6A6A6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</x:border>
    <x:border>
      <x:left style="thin">
        <x:color rgb="FFD6B656"/>
      </x:left>
      <x:right style="thin">
        <x:color rgb="FFD6B656"/>
      </x:right>
      <x:bottom style="thin">
        <x:color rgb="FFD6B656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</x:border>
    <x:border>
      <x:left style="thin">
        <x:color rgb="FFD6B656"/>
      </x:left>
      <x:right style="thin">
        <x:color rgb="FFD6B656"/>
      </x:right>
      <x:bottom style="thin">
        <x:color rgb="FFD6B656"/>
      </x:bottom>
    </x:border>
    <x:border>
      <x:bottom style="hair">
        <x:color rgb="FFD9D9D9"/>
      </x:bottom>
    </x:border>
    <x:border>
      <x:bottom style="hair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horizontal="right"/>
    </x:xf>
    <x:xf numFmtId="0" fontId="3" fillId="4" borderId="5" xfId="0" applyNumberFormat="1" applyFont="1" applyFill="1" applyBorder="1" applyAlignment="1">
      <x:alignment horizontal="righ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6" xfId="0" applyNumberFormat="1" applyFont="1" applyFill="1" applyBorder="1" applyAlignment="1">
      <x:alignment horizontal="right"/>
    </x:xf>
    <x:xf numFmtId="0" fontId="3" fillId="4" borderId="7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right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right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right"/>
    </x:xf>
    <x:xf numFmtId="200" fontId="3" fillId="4" borderId="4" xfId="0" applyNumberFormat="1" applyFont="1" applyFill="1" applyBorder="1" applyAlignment="1">
      <x:alignment horizontal="right"/>
    </x:xf>
    <x:xf numFmtId="200" fontId="3" fillId="4" borderId="6" xfId="0" applyNumberFormat="1" applyFont="1" applyFill="1" applyBorder="1" applyAlignment="1">
      <x:alignment horizontal="right"/>
    </x:xf>
    <x:xf numFmtId="201" fontId="3" fillId="4" borderId="5" xfId="0" applyNumberFormat="1" applyFont="1" applyFill="1" applyBorder="1" applyAlignment="1">
      <x:alignment horizontal="right"/>
    </x:xf>
    <x:xf numFmtId="201" fontId="3" fillId="4" borderId="7" xfId="0" applyNumberFormat="1" applyFont="1" applyFill="1" applyBorder="1" applyAlignment="1">
      <x:alignment horizontal="right"/>
    </x:xf>
    <x:xf numFmtId="202" fontId="2" fillId="5" borderId="0" xfId="0" applyNumberFormat="1" applyFont="1" applyFill="1" applyBorder="1" applyAlignment="1">
      <x:alignment horizontal="right"/>
    </x:xf>
    <x:xf numFmtId="202" fontId="2" fillId="5" borderId="1" xfId="0" applyNumberFormat="1" applyFont="1" applyFill="1" applyBorder="1" applyAlignment="1">
      <x:alignment horizontal="right"/>
    </x:xf>
    <x:xf numFmtId="200" fontId="2" fillId="7" borderId="0" xfId="0" applyNumberFormat="1" applyFont="1" applyFill="1" applyBorder="1" applyAlignment="1">
      <x:alignment horizontal="right"/>
    </x:xf>
    <x:xf numFmtId="200" fontId="2" fillId="7" borderId="1" xfId="0" applyNumberFormat="1" applyFont="1" applyFill="1" applyBorder="1" applyAlignment="1">
      <x:alignment horizontal="right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8" xfId="0" applyNumberFormat="1" applyFont="1" applyFill="1" applyBorder="1"/>
    <x:xf numFmtId="200" fontId="0" fillId="0" borderId="8" xfId="0" applyNumberFormat="1" applyFont="1" applyFill="1" applyBorder="1"/>
    <x:xf numFmtId="202" fontId="0" fillId="0" borderId="9" xfId="0" applyNumberFormat="1" applyFont="1" applyFill="1" applyBorder="1"/>
    <x:xf numFmtId="200" fontId="0" fillId="0" borderId="9" xfId="0" applyNumberFormat="1" applyFont="1" applyFill="1" applyBorder="1"/>
    <x:xf numFmtId="202" fontId="0" fillId="0" borderId="0" xfId="0" applyNumberFormat="1" applyFont="1" applyFill="1" applyBorder="1" applyAlignment="1">
      <x:alignment horizontal="center"/>
    </x:xf>
    <x:xf numFmtId="202" fontId="0" fillId="0" borderId="8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 applyAlignment="1">
      <x:alignment horizontal="center"/>
    </x:xf>
    <x:xf numFmtId="202" fontId="0" fillId="0" borderId="9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right"/>
    </x:xf>
    <x:xf numFmtId="200" fontId="0" fillId="0" borderId="8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0" fontId="0" fillId="0" borderId="9" xfId="0" applyNumberFormat="1" applyFont="1" applyFill="1" applyBorder="1" applyAlignment="1">
      <x:alignment horizontal="right"/>
    </x:xf>
  </x:cellXfs>
  <x:cellStyles count="1">
    <x:cellStyle name="Normal" xfId="0"/>
  </x:cellStyles>
  <x:dxfs count="8">
    <x:dxf>
      <x:fill>
        <x:patternFill patternType="solid">
          <x:bgColor rgb="FFF7F9FC"/>
        </x:patternFill>
      </x:fill>
    </x:dxf>
    <x:dxf>
      <x:fill>
        <x:patternFill patternType="solid">
          <x:bgColor rgb="FFF7F9FC"/>
        </x:patternFill>
      </x:fill>
    </x:dxf>
    <x:dxf>
      <x:fill>
        <x:patternFill patternType="solid">
          <x:bgColor rgb="FFF7F9FC"/>
        </x:patternFill>
      </x:fill>
    </x:dxf>
    <x:dxf>
      <x:fill>
        <x:patternFill patternType="solid">
          <x:bgColor rgb="FFF7F9FC"/>
        </x:patternFill>
      </x:fill>
    </x:dxf>
    <x:dxf>
      <x:fill>
        <x:patternFill patternType="solid">
          <x:bgColor rgb="FFF7F9FC"/>
        </x:patternFill>
      </x:fill>
    </x:dxf>
    <x:dxf>
      <x:fill>
        <x:patternFill patternType="solid">
          <x:bgColor rgb="FFF7F9FC"/>
        </x:patternFill>
      </x:fill>
    </x:dxf>
    <x:dxf>
      <x:fill>
        <x:patternFill patternType="solid">
          <x:bgColor rgb="FFF7F9FC"/>
        </x:patternFill>
      </x:fill>
    </x:dxf>
    <x:dxf>
      <x:fill>
        <x:patternFill patternType="solid">
          <x:bgColor rgb="FFF7F9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94ab44bea44dbc" /><Relationship Type="http://schemas.openxmlformats.org/officeDocument/2006/relationships/theme" Target="/xl/theme/theme1.xml" Id="R1bc154fd1a254067" /><Relationship Type="http://schemas.openxmlformats.org/officeDocument/2006/relationships/sharedStrings" Target="/xl/sharedStrings.xml" Id="R483fec7311184c9f" /><Relationship Type="http://schemas.openxmlformats.org/officeDocument/2006/relationships/worksheet" Target="/xl/worksheets/sheet1.xml" Id="R3ca9b84e6d8d419d" /><Relationship Type="http://schemas.openxmlformats.org/officeDocument/2006/relationships/worksheet" Target="/xl/worksheets/sheet2.xml" Id="R663f65a01abe484b" /><Relationship Type="http://schemas.openxmlformats.org/officeDocument/2006/relationships/worksheet" Target="/xl/worksheets/sheet3.xml" Id="R658e5da1bb154a64" /><Relationship Type="http://schemas.openxmlformats.org/officeDocument/2006/relationships/worksheet" Target="/xl/worksheets/sheet4.xml" Id="Re1e11123df714c72" /><Relationship Type="http://schemas.openxmlformats.org/officeDocument/2006/relationships/worksheet" Target="/xl/worksheets/sheet5.xml" Id="R37272d6a1d2f425c" /><Relationship Type="http://schemas.openxmlformats.org/officeDocument/2006/relationships/worksheet" Target="/xl/worksheets/sheet6.xml" Id="Rf99a955a66c64f9d" /><Relationship Type="http://schemas.openxmlformats.org/officeDocument/2006/relationships/worksheet" Target="/xl/worksheets/sheet7.xml" Id="Rb05a55054a0346b4" /><Relationship Type="http://schemas.openxmlformats.org/officeDocument/2006/relationships/worksheet" Target="/xl/worksheets/sheet8.xml" Id="Rde212bf05ae64c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5" t="str">
        <x:v>Préstamo con amortización francesa — 6 meses</x:v>
      </x:c>
      <x:c r="B1" s="5"/>
      <x:c r="C1" s="5"/>
      <x:c r="D1" s="5"/>
      <x:c r="E1" s="5"/>
      <x:c r="F1" s="5"/>
    </x:row>
    <x:row r="3">
      <x:c r="A3" s="11" t="str">
        <x:v>Monto del préstamo ($)</x:v>
      </x:c>
      <x:c r="B3" s="44" t="n">
        <x:v>1000000</x:v>
      </x:c>
    </x:row>
    <x:row r="4">
      <x:c r="A4" s="11" t="str">
        <x:v>Tasa de interés mensual (%)</x:v>
      </x:c>
      <x:c r="B4" s="46" t="n">
        <x:v>5</x:v>
      </x:c>
    </x:row>
    <x:row r="5">
      <x:c r="A5" s="12" t="str">
        <x:v>Plazo (meses)</x:v>
      </x:c>
      <x:c r="B5" s="48" t="n">
        <x:v>6</x:v>
      </x:c>
    </x:row>
    <x:row r="7">
      <x:c r="A7" s="35" t="str">
        <x:v>Cuota mensual ($)</x:v>
      </x:c>
      <x:c r="B7" s="50" t="n">
        <x:f>IF(B4=0,B3/B5,B3*(B4/100)/(1-(1+B4/100)^(-B5)))</x:f>
        <x:v>197017.4681101882</x:v>
      </x:c>
    </x:row>
    <x:row r="8">
      <x:c r="A8" s="35" t="str">
        <x:v>Total pagado ($)</x:v>
      </x:c>
      <x:c r="B8" s="50" t="n">
        <x:f>B7*B5</x:f>
        <x:v>1182104.8086611293</x:v>
      </x:c>
    </x:row>
    <x:row r="9">
      <x:c r="A9" s="35" t="str">
        <x:v>Intereses totales ($)</x:v>
      </x:c>
      <x:c r="B9" s="50" t="n">
        <x:f>B8-B3</x:f>
        <x:v>182104.80866112933</x:v>
      </x:c>
    </x:row>
    <x:row r="11" ht="30" customHeight="1">
      <x:c r="A11" s="53" t="str">
        <x:v>Editá solamente las celdas amarillas B3 y B4. La tasa ingresada debe ser mensual (por ejemplo, 5 = 5% mensual).</x:v>
      </x:c>
      <x:c r="B11" s="53"/>
      <x:c r="C11" s="53"/>
      <x:c r="D11" s="53"/>
      <x:c r="E11" s="53"/>
      <x:c r="F11" s="53"/>
    </x:row>
    <x:row r="13" ht="24" customHeight="1">
      <x:c r="A13" s="60" t="str">
        <x:v>Cuota N°</x:v>
      </x:c>
      <x:c r="B13" s="60" t="str">
        <x:v>Saldo inicial ($)</x:v>
      </x:c>
      <x:c r="C13" s="60" t="str">
        <x:v>Cuota ($)</x:v>
      </x:c>
      <x:c r="D13" s="60" t="str">
        <x:v>Interés ($)</x:v>
      </x:c>
      <x:c r="E13" s="60" t="str">
        <x:v>Amortización ($)</x:v>
      </x:c>
      <x:c r="F13" s="60" t="str">
        <x:v>Saldo final ($)</x:v>
      </x:c>
    </x:row>
    <x:row r="14">
      <x:c r="A14" s="74" t="n">
        <x:v>1</x:v>
      </x:c>
      <x:c r="B14" s="78" t="n">
        <x:f>$B$3</x:f>
        <x:v>1000000</x:v>
      </x:c>
      <x:c r="C14" s="78" t="n">
        <x:f>$B$7</x:f>
        <x:v>197017.4681101882</x:v>
      </x:c>
      <x:c r="D14" s="78" t="n">
        <x:f>B14*($B$4/100)</x:f>
        <x:v>50000</x:v>
      </x:c>
      <x:c r="E14" s="78" t="n">
        <x:f>C14-D14</x:f>
        <x:v>147017.4681101882</x:v>
      </x:c>
      <x:c r="F14" s="78" t="n">
        <x:f>IF(A14=$B$5,0,MAX(0,B14-E14))</x:f>
        <x:v>852982.5318898119</x:v>
      </x:c>
    </x:row>
    <x:row r="15">
      <x:c r="A15" s="74" t="n">
        <x:v>2</x:v>
      </x:c>
      <x:c r="B15" s="78" t="n">
        <x:f>F14</x:f>
        <x:v>852982.5318898119</x:v>
      </x:c>
      <x:c r="C15" s="78" t="n">
        <x:f>$B$7</x:f>
        <x:v>197017.4681101882</x:v>
      </x:c>
      <x:c r="D15" s="78" t="n">
        <x:f>B15*($B$4/100)</x:f>
        <x:v>42649.1265944906</x:v>
      </x:c>
      <x:c r="E15" s="78" t="n">
        <x:f>C15-D15</x:f>
        <x:v>154368.3415156976</x:v>
      </x:c>
      <x:c r="F15" s="78" t="n">
        <x:f>IF(A15=$B$5,0,MAX(0,B15-E15))</x:f>
        <x:v>698614.1903741143</x:v>
      </x:c>
    </x:row>
    <x:row r="16">
      <x:c r="A16" s="74" t="n">
        <x:v>3</x:v>
      </x:c>
      <x:c r="B16" s="78" t="n">
        <x:f>F15</x:f>
        <x:v>698614.1903741143</x:v>
      </x:c>
      <x:c r="C16" s="78" t="n">
        <x:f>$B$7</x:f>
        <x:v>197017.4681101882</x:v>
      </x:c>
      <x:c r="D16" s="78" t="n">
        <x:f>B16*($B$4/100)</x:f>
        <x:v>34930.70951870572</x:v>
      </x:c>
      <x:c r="E16" s="78" t="n">
        <x:f>C16-D16</x:f>
        <x:v>162086.75859148247</x:v>
      </x:c>
      <x:c r="F16" s="78" t="n">
        <x:f>IF(A16=$B$5,0,MAX(0,B16-E16))</x:f>
        <x:v>536527.4317826319</x:v>
      </x:c>
    </x:row>
    <x:row r="17">
      <x:c r="A17" s="74" t="n">
        <x:v>4</x:v>
      </x:c>
      <x:c r="B17" s="78" t="n">
        <x:f>F16</x:f>
        <x:v>536527.4317826319</x:v>
      </x:c>
      <x:c r="C17" s="78" t="n">
        <x:f>$B$7</x:f>
        <x:v>197017.4681101882</x:v>
      </x:c>
      <x:c r="D17" s="78" t="n">
        <x:f>B17*($B$4/100)</x:f>
        <x:v>26826.371589131595</x:v>
      </x:c>
      <x:c r="E17" s="78" t="n">
        <x:f>C17-D17</x:f>
        <x:v>170191.0965210566</x:v>
      </x:c>
      <x:c r="F17" s="78" t="n">
        <x:f>IF(A17=$B$5,0,MAX(0,B17-E17))</x:f>
        <x:v>366336.3352615753</x:v>
      </x:c>
    </x:row>
    <x:row r="18">
      <x:c r="A18" s="74" t="n">
        <x:v>5</x:v>
      </x:c>
      <x:c r="B18" s="78" t="n">
        <x:f>F17</x:f>
        <x:v>366336.3352615753</x:v>
      </x:c>
      <x:c r="C18" s="78" t="n">
        <x:f>$B$7</x:f>
        <x:v>197017.4681101882</x:v>
      </x:c>
      <x:c r="D18" s="78" t="n">
        <x:f>B18*($B$4/100)</x:f>
        <x:v>18316.816763078765</x:v>
      </x:c>
      <x:c r="E18" s="78" t="n">
        <x:f>C18-D18</x:f>
        <x:v>178700.65134710944</x:v>
      </x:c>
      <x:c r="F18" s="78" t="n">
        <x:f>IF(A18=$B$5,0,MAX(0,B18-E18))</x:f>
        <x:v>187635.68391446586</x:v>
      </x:c>
    </x:row>
    <x:row r="19">
      <x:c r="A19" s="75" t="n">
        <x:v>6</x:v>
      </x:c>
      <x:c r="B19" s="79" t="n">
        <x:f>F18</x:f>
        <x:v>187635.68391446586</x:v>
      </x:c>
      <x:c r="C19" s="79" t="n">
        <x:f>$B$7</x:f>
        <x:v>197017.4681101882</x:v>
      </x:c>
      <x:c r="D19" s="79" t="n">
        <x:f>B19*($B$4/100)</x:f>
        <x:v>9381.784195723294</x:v>
      </x:c>
      <x:c r="E19" s="79" t="n">
        <x:f>C19-D19</x:f>
        <x:v>187635.6839144649</x:v>
      </x:c>
      <x:c r="F19" s="79" t="n">
        <x:f>IF(A19=$B$5,0,MAX(0,B19-E19))</x:f>
        <x:v>0</x:v>
      </x:c>
    </x:row>
  </x:sheetData>
  <x:mergeCells>
    <x:mergeCell ref="A1:F1"/>
    <x:mergeCell ref="A11:F11"/>
  </x:mergeCells>
  <x:conditionalFormatting sqref="A14:F19">
    <x:cfRule type="expression" dxfId="0" priority="1">
      <x:formula>MOD($A14,2)=0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5" t="str">
        <x:v>Préstamo con amortización francesa — 12 meses</x:v>
      </x:c>
      <x:c r="B1" s="5"/>
      <x:c r="C1" s="5"/>
      <x:c r="D1" s="5"/>
      <x:c r="E1" s="5"/>
      <x:c r="F1" s="5"/>
    </x:row>
    <x:row r="3">
      <x:c r="A3" s="11" t="str">
        <x:v>Monto del préstamo ($)</x:v>
      </x:c>
      <x:c r="B3" s="44" t="n">
        <x:v>1000000</x:v>
      </x:c>
    </x:row>
    <x:row r="4">
      <x:c r="A4" s="11" t="str">
        <x:v>Tasa de interés mensual (%)</x:v>
      </x:c>
      <x:c r="B4" s="46" t="n">
        <x:v>5</x:v>
      </x:c>
    </x:row>
    <x:row r="5">
      <x:c r="A5" s="12" t="str">
        <x:v>Plazo (meses)</x:v>
      </x:c>
      <x:c r="B5" s="48" t="n">
        <x:v>12</x:v>
      </x:c>
    </x:row>
    <x:row r="7">
      <x:c r="A7" s="35" t="str">
        <x:v>Cuota mensual ($)</x:v>
      </x:c>
      <x:c r="B7" s="50" t="n">
        <x:f>IF(B4=0,B3/B5,B3*(B4/100)/(1-(1+B4/100)^(-B5)))</x:f>
        <x:v>112825.41002081534</x:v>
      </x:c>
    </x:row>
    <x:row r="8">
      <x:c r="A8" s="35" t="str">
        <x:v>Total pagado ($)</x:v>
      </x:c>
      <x:c r="B8" s="50" t="n">
        <x:f>B7*B5</x:f>
        <x:v>1353904.9202497841</x:v>
      </x:c>
    </x:row>
    <x:row r="9">
      <x:c r="A9" s="35" t="str">
        <x:v>Intereses totales ($)</x:v>
      </x:c>
      <x:c r="B9" s="50" t="n">
        <x:f>B8-B3</x:f>
        <x:v>353904.92024978413</x:v>
      </x:c>
    </x:row>
    <x:row r="11" ht="30" customHeight="1">
      <x:c r="A11" s="53" t="str">
        <x:v>Editá solamente las celdas amarillas B3 y B4. La tasa ingresada debe ser mensual (por ejemplo, 5 = 5% mensual).</x:v>
      </x:c>
      <x:c r="B11" s="53"/>
      <x:c r="C11" s="53"/>
      <x:c r="D11" s="53"/>
      <x:c r="E11" s="53"/>
      <x:c r="F11" s="53"/>
    </x:row>
    <x:row r="13" ht="24" customHeight="1">
      <x:c r="A13" s="60" t="str">
        <x:v>Cuota N°</x:v>
      </x:c>
      <x:c r="B13" s="60" t="str">
        <x:v>Saldo inicial ($)</x:v>
      </x:c>
      <x:c r="C13" s="60" t="str">
        <x:v>Cuota ($)</x:v>
      </x:c>
      <x:c r="D13" s="60" t="str">
        <x:v>Interés ($)</x:v>
      </x:c>
      <x:c r="E13" s="60" t="str">
        <x:v>Amortización ($)</x:v>
      </x:c>
      <x:c r="F13" s="60" t="str">
        <x:v>Saldo final ($)</x:v>
      </x:c>
    </x:row>
    <x:row r="14">
      <x:c r="A14" s="74" t="n">
        <x:v>1</x:v>
      </x:c>
      <x:c r="B14" s="78" t="n">
        <x:f>$B$3</x:f>
        <x:v>1000000</x:v>
      </x:c>
      <x:c r="C14" s="78" t="n">
        <x:f>$B$7</x:f>
        <x:v>112825.41002081534</x:v>
      </x:c>
      <x:c r="D14" s="78" t="n">
        <x:f>B14*($B$4/100)</x:f>
        <x:v>50000</x:v>
      </x:c>
      <x:c r="E14" s="78" t="n">
        <x:f>C14-D14</x:f>
        <x:v>62825.41002081534</x:v>
      </x:c>
      <x:c r="F14" s="78" t="n">
        <x:f>IF(A14=$B$5,0,MAX(0,B14-E14))</x:f>
        <x:v>937174.5899791847</x:v>
      </x:c>
    </x:row>
    <x:row r="15">
      <x:c r="A15" s="74" t="n">
        <x:v>2</x:v>
      </x:c>
      <x:c r="B15" s="78" t="n">
        <x:f>F14</x:f>
        <x:v>937174.5899791847</x:v>
      </x:c>
      <x:c r="C15" s="78" t="n">
        <x:f>$B$7</x:f>
        <x:v>112825.41002081534</x:v>
      </x:c>
      <x:c r="D15" s="78" t="n">
        <x:f>B15*($B$4/100)</x:f>
        <x:v>46858.729498959234</x:v>
      </x:c>
      <x:c r="E15" s="78" t="n">
        <x:f>C15-D15</x:f>
        <x:v>65966.6805218561</x:v>
      </x:c>
      <x:c r="F15" s="78" t="n">
        <x:f>IF(A15=$B$5,0,MAX(0,B15-E15))</x:f>
        <x:v>871207.9094573286</x:v>
      </x:c>
    </x:row>
    <x:row r="16">
      <x:c r="A16" s="74" t="n">
        <x:v>3</x:v>
      </x:c>
      <x:c r="B16" s="78" t="n">
        <x:f>F15</x:f>
        <x:v>871207.9094573286</x:v>
      </x:c>
      <x:c r="C16" s="78" t="n">
        <x:f>$B$7</x:f>
        <x:v>112825.41002081534</x:v>
      </x:c>
      <x:c r="D16" s="78" t="n">
        <x:f>B16*($B$4/100)</x:f>
        <x:v>43560.39547286643</x:v>
      </x:c>
      <x:c r="E16" s="78" t="n">
        <x:f>C16-D16</x:f>
        <x:v>69265.0145479489</x:v>
      </x:c>
      <x:c r="F16" s="78" t="n">
        <x:f>IF(A16=$B$5,0,MAX(0,B16-E16))</x:f>
        <x:v>801942.8949093798</x:v>
      </x:c>
    </x:row>
    <x:row r="17">
      <x:c r="A17" s="74" t="n">
        <x:v>4</x:v>
      </x:c>
      <x:c r="B17" s="78" t="n">
        <x:f>F16</x:f>
        <x:v>801942.8949093798</x:v>
      </x:c>
      <x:c r="C17" s="78" t="n">
        <x:f>$B$7</x:f>
        <x:v>112825.41002081534</x:v>
      </x:c>
      <x:c r="D17" s="78" t="n">
        <x:f>B17*($B$4/100)</x:f>
        <x:v>40097.14474546899</x:v>
      </x:c>
      <x:c r="E17" s="78" t="n">
        <x:f>C17-D17</x:f>
        <x:v>72728.26527534635</x:v>
      </x:c>
      <x:c r="F17" s="78" t="n">
        <x:f>IF(A17=$B$5,0,MAX(0,B17-E17))</x:f>
        <x:v>729214.6296340334</x:v>
      </x:c>
    </x:row>
    <x:row r="18">
      <x:c r="A18" s="74" t="n">
        <x:v>5</x:v>
      </x:c>
      <x:c r="B18" s="78" t="n">
        <x:f>F17</x:f>
        <x:v>729214.6296340334</x:v>
      </x:c>
      <x:c r="C18" s="78" t="n">
        <x:f>$B$7</x:f>
        <x:v>112825.41002081534</x:v>
      </x:c>
      <x:c r="D18" s="78" t="n">
        <x:f>B18*($B$4/100)</x:f>
        <x:v>36460.731481701674</x:v>
      </x:c>
      <x:c r="E18" s="78" t="n">
        <x:f>C18-D18</x:f>
        <x:v>76364.67853911367</x:v>
      </x:c>
      <x:c r="F18" s="78" t="n">
        <x:f>IF(A18=$B$5,0,MAX(0,B18-E18))</x:f>
        <x:v>652849.9510949198</x:v>
      </x:c>
    </x:row>
    <x:row r="19">
      <x:c r="A19" s="74" t="n">
        <x:v>6</x:v>
      </x:c>
      <x:c r="B19" s="78" t="n">
        <x:f>F18</x:f>
        <x:v>652849.9510949198</x:v>
      </x:c>
      <x:c r="C19" s="78" t="n">
        <x:f>$B$7</x:f>
        <x:v>112825.41002081534</x:v>
      </x:c>
      <x:c r="D19" s="78" t="n">
        <x:f>B19*($B$4/100)</x:f>
        <x:v>32642.49755474599</x:v>
      </x:c>
      <x:c r="E19" s="78" t="n">
        <x:f>C19-D19</x:f>
        <x:v>80182.91246606935</x:v>
      </x:c>
      <x:c r="F19" s="78" t="n">
        <x:f>IF(A19=$B$5,0,MAX(0,B19-E19))</x:f>
        <x:v>572667.0386288505</x:v>
      </x:c>
    </x:row>
    <x:row r="20">
      <x:c r="A20" s="74" t="n">
        <x:v>7</x:v>
      </x:c>
      <x:c r="B20" s="78" t="n">
        <x:f>F19</x:f>
        <x:v>572667.0386288505</x:v>
      </x:c>
      <x:c r="C20" s="78" t="n">
        <x:f>$B$7</x:f>
        <x:v>112825.41002081534</x:v>
      </x:c>
      <x:c r="D20" s="78" t="n">
        <x:f>B20*($B$4/100)</x:f>
        <x:v>28633.351931442525</x:v>
      </x:c>
      <x:c r="E20" s="78" t="n">
        <x:f>C20-D20</x:f>
        <x:v>84192.05808937282</x:v>
      </x:c>
      <x:c r="F20" s="78" t="n">
        <x:f>IF(A20=$B$5,0,MAX(0,B20-E20))</x:f>
        <x:v>488474.98053947766</x:v>
      </x:c>
    </x:row>
    <x:row r="21">
      <x:c r="A21" s="74" t="n">
        <x:v>8</x:v>
      </x:c>
      <x:c r="B21" s="78" t="n">
        <x:f>F20</x:f>
        <x:v>488474.98053947766</x:v>
      </x:c>
      <x:c r="C21" s="78" t="n">
        <x:f>$B$7</x:f>
        <x:v>112825.41002081534</x:v>
      </x:c>
      <x:c r="D21" s="78" t="n">
        <x:f>B21*($B$4/100)</x:f>
        <x:v>24423.749026973885</x:v>
      </x:c>
      <x:c r="E21" s="78" t="n">
        <x:f>C21-D21</x:f>
        <x:v>88401.66099384145</x:v>
      </x:c>
      <x:c r="F21" s="78" t="n">
        <x:f>IF(A21=$B$5,0,MAX(0,B21-E21))</x:f>
        <x:v>400073.3195456362</x:v>
      </x:c>
    </x:row>
    <x:row r="22">
      <x:c r="A22" s="74" t="n">
        <x:v>9</x:v>
      </x:c>
      <x:c r="B22" s="78" t="n">
        <x:f>F21</x:f>
        <x:v>400073.3195456362</x:v>
      </x:c>
      <x:c r="C22" s="78" t="n">
        <x:f>$B$7</x:f>
        <x:v>112825.41002081534</x:v>
      </x:c>
      <x:c r="D22" s="78" t="n">
        <x:f>B22*($B$4/100)</x:f>
        <x:v>20003.66597728181</x:v>
      </x:c>
      <x:c r="E22" s="78" t="n">
        <x:f>C22-D22</x:f>
        <x:v>92821.74404353353</x:v>
      </x:c>
      <x:c r="F22" s="78" t="n">
        <x:f>IF(A22=$B$5,0,MAX(0,B22-E22))</x:f>
        <x:v>307251.57550210267</x:v>
      </x:c>
    </x:row>
    <x:row r="23">
      <x:c r="A23" s="74" t="n">
        <x:v>10</x:v>
      </x:c>
      <x:c r="B23" s="78" t="n">
        <x:f>F22</x:f>
        <x:v>307251.57550210267</x:v>
      </x:c>
      <x:c r="C23" s="78" t="n">
        <x:f>$B$7</x:f>
        <x:v>112825.41002081534</x:v>
      </x:c>
      <x:c r="D23" s="78" t="n">
        <x:f>B23*($B$4/100)</x:f>
        <x:v>15362.578775105134</x:v>
      </x:c>
      <x:c r="E23" s="78" t="n">
        <x:f>C23-D23</x:f>
        <x:v>97462.8312457102</x:v>
      </x:c>
      <x:c r="F23" s="78" t="n">
        <x:f>IF(A23=$B$5,0,MAX(0,B23-E23))</x:f>
        <x:v>209788.74425639247</x:v>
      </x:c>
    </x:row>
    <x:row r="24">
      <x:c r="A24" s="74" t="n">
        <x:v>11</x:v>
      </x:c>
      <x:c r="B24" s="78" t="n">
        <x:f>F23</x:f>
        <x:v>209788.74425639247</x:v>
      </x:c>
      <x:c r="C24" s="78" t="n">
        <x:f>$B$7</x:f>
        <x:v>112825.41002081534</x:v>
      </x:c>
      <x:c r="D24" s="78" t="n">
        <x:f>B24*($B$4/100)</x:f>
        <x:v>10489.437212819625</x:v>
      </x:c>
      <x:c r="E24" s="78" t="n">
        <x:f>C24-D24</x:f>
        <x:v>102335.97280799571</x:v>
      </x:c>
      <x:c r="F24" s="78" t="n">
        <x:f>IF(A24=$B$5,0,MAX(0,B24-E24))</x:f>
        <x:v>107452.77144839676</x:v>
      </x:c>
    </x:row>
    <x:row r="25">
      <x:c r="A25" s="75" t="n">
        <x:v>12</x:v>
      </x:c>
      <x:c r="B25" s="79" t="n">
        <x:f>F24</x:f>
        <x:v>107452.77144839676</x:v>
      </x:c>
      <x:c r="C25" s="79" t="n">
        <x:f>$B$7</x:f>
        <x:v>112825.41002081534</x:v>
      </x:c>
      <x:c r="D25" s="79" t="n">
        <x:f>B25*($B$4/100)</x:f>
        <x:v>5372.638572419838</x:v>
      </x:c>
      <x:c r="E25" s="79" t="n">
        <x:f>C25-D25</x:f>
        <x:v>107452.7714483955</x:v>
      </x:c>
      <x:c r="F25" s="79" t="n">
        <x:f>IF(A25=$B$5,0,MAX(0,B25-E25))</x:f>
        <x:v>0</x:v>
      </x:c>
    </x:row>
  </x:sheetData>
  <x:mergeCells>
    <x:mergeCell ref="A1:F1"/>
    <x:mergeCell ref="A11:F11"/>
  </x:mergeCells>
  <x:conditionalFormatting sqref="A14:F25">
    <x:cfRule type="expression" dxfId="1" priority="1">
      <x:formula>MOD($A14,2)=0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5" t="str">
        <x:v>Préstamo con amortización francesa — 18 meses</x:v>
      </x:c>
      <x:c r="B1" s="5"/>
      <x:c r="C1" s="5"/>
      <x:c r="D1" s="5"/>
      <x:c r="E1" s="5"/>
      <x:c r="F1" s="5"/>
    </x:row>
    <x:row r="3">
      <x:c r="A3" s="11" t="str">
        <x:v>Monto del préstamo ($)</x:v>
      </x:c>
      <x:c r="B3" s="44" t="n">
        <x:v>1000000</x:v>
      </x:c>
    </x:row>
    <x:row r="4">
      <x:c r="A4" s="11" t="str">
        <x:v>Tasa de interés mensual (%)</x:v>
      </x:c>
      <x:c r="B4" s="46" t="n">
        <x:v>5</x:v>
      </x:c>
    </x:row>
    <x:row r="5">
      <x:c r="A5" s="12" t="str">
        <x:v>Plazo (meses)</x:v>
      </x:c>
      <x:c r="B5" s="48" t="n">
        <x:v>18</x:v>
      </x:c>
    </x:row>
    <x:row r="7">
      <x:c r="A7" s="35" t="str">
        <x:v>Cuota mensual ($)</x:v>
      </x:c>
      <x:c r="B7" s="50" t="n">
        <x:f>IF(B4=0,B3/B5,B3*(B4/100)/(1-(1+B4/100)^(-B5)))</x:f>
        <x:v>85546.22231973599</x:v>
      </x:c>
    </x:row>
    <x:row r="8">
      <x:c r="A8" s="35" t="str">
        <x:v>Total pagado ($)</x:v>
      </x:c>
      <x:c r="B8" s="50" t="n">
        <x:f>B7*B5</x:f>
        <x:v>1539832.0017552478</x:v>
      </x:c>
    </x:row>
    <x:row r="9">
      <x:c r="A9" s="35" t="str">
        <x:v>Intereses totales ($)</x:v>
      </x:c>
      <x:c r="B9" s="50" t="n">
        <x:f>B8-B3</x:f>
        <x:v>539832.0017552478</x:v>
      </x:c>
    </x:row>
    <x:row r="11" ht="30" customHeight="1">
      <x:c r="A11" s="53" t="str">
        <x:v>Editá solamente las celdas amarillas B3 y B4. La tasa ingresada debe ser mensual (por ejemplo, 5 = 5% mensual).</x:v>
      </x:c>
      <x:c r="B11" s="53"/>
      <x:c r="C11" s="53"/>
      <x:c r="D11" s="53"/>
      <x:c r="E11" s="53"/>
      <x:c r="F11" s="53"/>
    </x:row>
    <x:row r="13" ht="24" customHeight="1">
      <x:c r="A13" s="60" t="str">
        <x:v>Cuota N°</x:v>
      </x:c>
      <x:c r="B13" s="60" t="str">
        <x:v>Saldo inicial ($)</x:v>
      </x:c>
      <x:c r="C13" s="60" t="str">
        <x:v>Cuota ($)</x:v>
      </x:c>
      <x:c r="D13" s="60" t="str">
        <x:v>Interés ($)</x:v>
      </x:c>
      <x:c r="E13" s="60" t="str">
        <x:v>Amortización ($)</x:v>
      </x:c>
      <x:c r="F13" s="60" t="str">
        <x:v>Saldo final ($)</x:v>
      </x:c>
    </x:row>
    <x:row r="14">
      <x:c r="A14" s="74" t="n">
        <x:v>1</x:v>
      </x:c>
      <x:c r="B14" s="78" t="n">
        <x:f>$B$3</x:f>
        <x:v>1000000</x:v>
      </x:c>
      <x:c r="C14" s="78" t="n">
        <x:f>$B$7</x:f>
        <x:v>85546.22231973599</x:v>
      </x:c>
      <x:c r="D14" s="78" t="n">
        <x:f>B14*($B$4/100)</x:f>
        <x:v>50000</x:v>
      </x:c>
      <x:c r="E14" s="78" t="n">
        <x:f>C14-D14</x:f>
        <x:v>35546.222319735985</x:v>
      </x:c>
      <x:c r="F14" s="78" t="n">
        <x:f>IF(A14=$B$5,0,MAX(0,B14-E14))</x:f>
        <x:v>964453.777680264</x:v>
      </x:c>
    </x:row>
    <x:row r="15">
      <x:c r="A15" s="74" t="n">
        <x:v>2</x:v>
      </x:c>
      <x:c r="B15" s="78" t="n">
        <x:f>F14</x:f>
        <x:v>964453.777680264</x:v>
      </x:c>
      <x:c r="C15" s="78" t="n">
        <x:f>$B$7</x:f>
        <x:v>85546.22231973599</x:v>
      </x:c>
      <x:c r="D15" s="78" t="n">
        <x:f>B15*($B$4/100)</x:f>
        <x:v>48222.6888840132</x:v>
      </x:c>
      <x:c r="E15" s="78" t="n">
        <x:f>C15-D15</x:f>
        <x:v>37323.533435722784</x:v>
      </x:c>
      <x:c r="F15" s="78" t="n">
        <x:f>IF(A15=$B$5,0,MAX(0,B15-E15))</x:f>
        <x:v>927130.2442445412</x:v>
      </x:c>
    </x:row>
    <x:row r="16">
      <x:c r="A16" s="74" t="n">
        <x:v>3</x:v>
      </x:c>
      <x:c r="B16" s="78" t="n">
        <x:f>F15</x:f>
        <x:v>927130.2442445412</x:v>
      </x:c>
      <x:c r="C16" s="78" t="n">
        <x:f>$B$7</x:f>
        <x:v>85546.22231973599</x:v>
      </x:c>
      <x:c r="D16" s="78" t="n">
        <x:f>B16*($B$4/100)</x:f>
        <x:v>46356.51221222706</x:v>
      </x:c>
      <x:c r="E16" s="78" t="n">
        <x:f>C16-D16</x:f>
        <x:v>39189.71010750892</x:v>
      </x:c>
      <x:c r="F16" s="78" t="n">
        <x:f>IF(A16=$B$5,0,MAX(0,B16-E16))</x:f>
        <x:v>887940.5341370322</x:v>
      </x:c>
    </x:row>
    <x:row r="17">
      <x:c r="A17" s="74" t="n">
        <x:v>4</x:v>
      </x:c>
      <x:c r="B17" s="78" t="n">
        <x:f>F16</x:f>
        <x:v>887940.5341370322</x:v>
      </x:c>
      <x:c r="C17" s="78" t="n">
        <x:f>$B$7</x:f>
        <x:v>85546.22231973599</x:v>
      </x:c>
      <x:c r="D17" s="78" t="n">
        <x:f>B17*($B$4/100)</x:f>
        <x:v>44397.02670685161</x:v>
      </x:c>
      <x:c r="E17" s="78" t="n">
        <x:f>C17-D17</x:f>
        <x:v>41149.195612884374</x:v>
      </x:c>
      <x:c r="F17" s="78" t="n">
        <x:f>IF(A17=$B$5,0,MAX(0,B17-E17))</x:f>
        <x:v>846791.3385241479</x:v>
      </x:c>
    </x:row>
    <x:row r="18">
      <x:c r="A18" s="74" t="n">
        <x:v>5</x:v>
      </x:c>
      <x:c r="B18" s="78" t="n">
        <x:f>F17</x:f>
        <x:v>846791.3385241479</x:v>
      </x:c>
      <x:c r="C18" s="78" t="n">
        <x:f>$B$7</x:f>
        <x:v>85546.22231973599</x:v>
      </x:c>
      <x:c r="D18" s="78" t="n">
        <x:f>B18*($B$4/100)</x:f>
        <x:v>42339.56692620739</x:v>
      </x:c>
      <x:c r="E18" s="78" t="n">
        <x:f>C18-D18</x:f>
        <x:v>43206.65539352859</x:v>
      </x:c>
      <x:c r="F18" s="78" t="n">
        <x:f>IF(A18=$B$5,0,MAX(0,B18-E18))</x:f>
        <x:v>803584.6831306192</x:v>
      </x:c>
    </x:row>
    <x:row r="19">
      <x:c r="A19" s="74" t="n">
        <x:v>6</x:v>
      </x:c>
      <x:c r="B19" s="78" t="n">
        <x:f>F18</x:f>
        <x:v>803584.6831306192</x:v>
      </x:c>
      <x:c r="C19" s="78" t="n">
        <x:f>$B$7</x:f>
        <x:v>85546.22231973599</x:v>
      </x:c>
      <x:c r="D19" s="78" t="n">
        <x:f>B19*($B$4/100)</x:f>
        <x:v>40179.23415653096</x:v>
      </x:c>
      <x:c r="E19" s="78" t="n">
        <x:f>C19-D19</x:f>
        <x:v>45366.988163205024</x:v>
      </x:c>
      <x:c r="F19" s="78" t="n">
        <x:f>IF(A19=$B$5,0,MAX(0,B19-E19))</x:f>
        <x:v>758217.6949674143</x:v>
      </x:c>
    </x:row>
    <x:row r="20">
      <x:c r="A20" s="74" t="n">
        <x:v>7</x:v>
      </x:c>
      <x:c r="B20" s="78" t="n">
        <x:f>F19</x:f>
        <x:v>758217.6949674143</x:v>
      </x:c>
      <x:c r="C20" s="78" t="n">
        <x:f>$B$7</x:f>
        <x:v>85546.22231973599</x:v>
      </x:c>
      <x:c r="D20" s="78" t="n">
        <x:f>B20*($B$4/100)</x:f>
        <x:v>37910.884748370714</x:v>
      </x:c>
      <x:c r="E20" s="78" t="n">
        <x:f>C20-D20</x:f>
        <x:v>47635.33757136527</x:v>
      </x:c>
      <x:c r="F20" s="78" t="n">
        <x:f>IF(A20=$B$5,0,MAX(0,B20-E20))</x:f>
        <x:v>710582.357396049</x:v>
      </x:c>
    </x:row>
    <x:row r="21">
      <x:c r="A21" s="74" t="n">
        <x:v>8</x:v>
      </x:c>
      <x:c r="B21" s="78" t="n">
        <x:f>F20</x:f>
        <x:v>710582.357396049</x:v>
      </x:c>
      <x:c r="C21" s="78" t="n">
        <x:f>$B$7</x:f>
        <x:v>85546.22231973599</x:v>
      </x:c>
      <x:c r="D21" s="78" t="n">
        <x:f>B21*($B$4/100)</x:f>
        <x:v>35529.11786980245</x:v>
      </x:c>
      <x:c r="E21" s="78" t="n">
        <x:f>C21-D21</x:f>
        <x:v>50017.10444993353</x:v>
      </x:c>
      <x:c r="F21" s="78" t="n">
        <x:f>IF(A21=$B$5,0,MAX(0,B21-E21))</x:f>
        <x:v>660565.2529461154</x:v>
      </x:c>
    </x:row>
    <x:row r="22">
      <x:c r="A22" s="74" t="n">
        <x:v>9</x:v>
      </x:c>
      <x:c r="B22" s="78" t="n">
        <x:f>F21</x:f>
        <x:v>660565.2529461154</x:v>
      </x:c>
      <x:c r="C22" s="78" t="n">
        <x:f>$B$7</x:f>
        <x:v>85546.22231973599</x:v>
      </x:c>
      <x:c r="D22" s="78" t="n">
        <x:f>B22*($B$4/100)</x:f>
        <x:v>33028.262647305775</x:v>
      </x:c>
      <x:c r="E22" s="78" t="n">
        <x:f>C22-D22</x:f>
        <x:v>52517.95967243021</x:v>
      </x:c>
      <x:c r="F22" s="78" t="n">
        <x:f>IF(A22=$B$5,0,MAX(0,B22-E22))</x:f>
        <x:v>608047.2932736853</x:v>
      </x:c>
    </x:row>
    <x:row r="23">
      <x:c r="A23" s="74" t="n">
        <x:v>10</x:v>
      </x:c>
      <x:c r="B23" s="78" t="n">
        <x:f>F22</x:f>
        <x:v>608047.2932736853</x:v>
      </x:c>
      <x:c r="C23" s="78" t="n">
        <x:f>$B$7</x:f>
        <x:v>85546.22231973599</x:v>
      </x:c>
      <x:c r="D23" s="78" t="n">
        <x:f>B23*($B$4/100)</x:f>
        <x:v>30402.364663684264</x:v>
      </x:c>
      <x:c r="E23" s="78" t="n">
        <x:f>C23-D23</x:f>
        <x:v>55143.857656051725</x:v>
      </x:c>
      <x:c r="F23" s="78" t="n">
        <x:f>IF(A23=$B$5,0,MAX(0,B23-E23))</x:f>
        <x:v>552903.4356176335</x:v>
      </x:c>
    </x:row>
    <x:row r="24">
      <x:c r="A24" s="74" t="n">
        <x:v>11</x:v>
      </x:c>
      <x:c r="B24" s="78" t="n">
        <x:f>F23</x:f>
        <x:v>552903.4356176335</x:v>
      </x:c>
      <x:c r="C24" s="78" t="n">
        <x:f>$B$7</x:f>
        <x:v>85546.22231973599</x:v>
      </x:c>
      <x:c r="D24" s="78" t="n">
        <x:f>B24*($B$4/100)</x:f>
        <x:v>27645.171780881676</x:v>
      </x:c>
      <x:c r="E24" s="78" t="n">
        <x:f>C24-D24</x:f>
        <x:v>57901.05053885431</x:v>
      </x:c>
      <x:c r="F24" s="78" t="n">
        <x:f>IF(A24=$B$5,0,MAX(0,B24-E24))</x:f>
        <x:v>495002.3850787792</x:v>
      </x:c>
    </x:row>
    <x:row r="25">
      <x:c r="A25" s="74" t="n">
        <x:v>12</x:v>
      </x:c>
      <x:c r="B25" s="78" t="n">
        <x:f>F24</x:f>
        <x:v>495002.3850787792</x:v>
      </x:c>
      <x:c r="C25" s="78" t="n">
        <x:f>$B$7</x:f>
        <x:v>85546.22231973599</x:v>
      </x:c>
      <x:c r="D25" s="78" t="n">
        <x:f>B25*($B$4/100)</x:f>
        <x:v>24750.11925393896</x:v>
      </x:c>
      <x:c r="E25" s="78" t="n">
        <x:f>C25-D25</x:f>
        <x:v>60796.103065797026</x:v>
      </x:c>
      <x:c r="F25" s="78" t="n">
        <x:f>IF(A25=$B$5,0,MAX(0,B25-E25))</x:f>
        <x:v>434206.2820129822</x:v>
      </x:c>
    </x:row>
    <x:row r="26">
      <x:c r="A26" s="74" t="n">
        <x:v>13</x:v>
      </x:c>
      <x:c r="B26" s="78" t="n">
        <x:f>F25</x:f>
        <x:v>434206.2820129822</x:v>
      </x:c>
      <x:c r="C26" s="78" t="n">
        <x:f>$B$7</x:f>
        <x:v>85546.22231973599</x:v>
      </x:c>
      <x:c r="D26" s="78" t="n">
        <x:f>B26*($B$4/100)</x:f>
        <x:v>21710.31410064911</x:v>
      </x:c>
      <x:c r="E26" s="78" t="n">
        <x:f>C26-D26</x:f>
        <x:v>63835.90821908688</x:v>
      </x:c>
      <x:c r="F26" s="78" t="n">
        <x:f>IF(A26=$B$5,0,MAX(0,B26-E26))</x:f>
        <x:v>370370.3737938953</x:v>
      </x:c>
    </x:row>
    <x:row r="27">
      <x:c r="A27" s="74" t="n">
        <x:v>14</x:v>
      </x:c>
      <x:c r="B27" s="78" t="n">
        <x:f>F26</x:f>
        <x:v>370370.3737938953</x:v>
      </x:c>
      <x:c r="C27" s="78" t="n">
        <x:f>$B$7</x:f>
        <x:v>85546.22231973599</x:v>
      </x:c>
      <x:c r="D27" s="78" t="n">
        <x:f>B27*($B$4/100)</x:f>
        <x:v>18518.518689694767</x:v>
      </x:c>
      <x:c r="E27" s="78" t="n">
        <x:f>C27-D27</x:f>
        <x:v>67027.70363004121</x:v>
      </x:c>
      <x:c r="F27" s="78" t="n">
        <x:f>IF(A27=$B$5,0,MAX(0,B27-E27))</x:f>
        <x:v>303342.6701638541</x:v>
      </x:c>
    </x:row>
    <x:row r="28">
      <x:c r="A28" s="74" t="n">
        <x:v>15</x:v>
      </x:c>
      <x:c r="B28" s="78" t="n">
        <x:f>F27</x:f>
        <x:v>303342.6701638541</x:v>
      </x:c>
      <x:c r="C28" s="78" t="n">
        <x:f>$B$7</x:f>
        <x:v>85546.22231973599</x:v>
      </x:c>
      <x:c r="D28" s="78" t="n">
        <x:f>B28*($B$4/100)</x:f>
        <x:v>15167.133508192705</x:v>
      </x:c>
      <x:c r="E28" s="78" t="n">
        <x:f>C28-D28</x:f>
        <x:v>70379.08881154328</x:v>
      </x:c>
      <x:c r="F28" s="78" t="n">
        <x:f>IF(A28=$B$5,0,MAX(0,B28-E28))</x:f>
        <x:v>232963.5813523108</x:v>
      </x:c>
    </x:row>
    <x:row r="29">
      <x:c r="A29" s="74" t="n">
        <x:v>16</x:v>
      </x:c>
      <x:c r="B29" s="78" t="n">
        <x:f>F28</x:f>
        <x:v>232963.5813523108</x:v>
      </x:c>
      <x:c r="C29" s="78" t="n">
        <x:f>$B$7</x:f>
        <x:v>85546.22231973599</x:v>
      </x:c>
      <x:c r="D29" s="78" t="n">
        <x:f>B29*($B$4/100)</x:f>
        <x:v>11648.179067615541</x:v>
      </x:c>
      <x:c r="E29" s="78" t="n">
        <x:f>C29-D29</x:f>
        <x:v>73898.04325212045</x:v>
      </x:c>
      <x:c r="F29" s="78" t="n">
        <x:f>IF(A29=$B$5,0,MAX(0,B29-E29))</x:f>
        <x:v>159065.53810019034</x:v>
      </x:c>
    </x:row>
    <x:row r="30">
      <x:c r="A30" s="74" t="n">
        <x:v>17</x:v>
      </x:c>
      <x:c r="B30" s="78" t="n">
        <x:f>F29</x:f>
        <x:v>159065.53810019034</x:v>
      </x:c>
      <x:c r="C30" s="78" t="n">
        <x:f>$B$7</x:f>
        <x:v>85546.22231973599</x:v>
      </x:c>
      <x:c r="D30" s="78" t="n">
        <x:f>B30*($B$4/100)</x:f>
        <x:v>7953.276905009518</x:v>
      </x:c>
      <x:c r="E30" s="78" t="n">
        <x:f>C30-D30</x:f>
        <x:v>77592.94541472646</x:v>
      </x:c>
      <x:c r="F30" s="78" t="n">
        <x:f>IF(A30=$B$5,0,MAX(0,B30-E30))</x:f>
        <x:v>81472.59268546388</x:v>
      </x:c>
    </x:row>
    <x:row r="31">
      <x:c r="A31" s="75" t="n">
        <x:v>18</x:v>
      </x:c>
      <x:c r="B31" s="79" t="n">
        <x:f>F30</x:f>
        <x:v>81472.59268546388</x:v>
      </x:c>
      <x:c r="C31" s="79" t="n">
        <x:f>$B$7</x:f>
        <x:v>85546.22231973599</x:v>
      </x:c>
      <x:c r="D31" s="79" t="n">
        <x:f>B31*($B$4/100)</x:f>
        <x:v>4073.6296342731944</x:v>
      </x:c>
      <x:c r="E31" s="79" t="n">
        <x:f>C31-D31</x:f>
        <x:v>81472.59268546279</x:v>
      </x:c>
      <x:c r="F31" s="79" t="n">
        <x:f>IF(A31=$B$5,0,MAX(0,B31-E31))</x:f>
        <x:v>0</x:v>
      </x:c>
    </x:row>
  </x:sheetData>
  <x:mergeCells>
    <x:mergeCell ref="A1:F1"/>
    <x:mergeCell ref="A11:F11"/>
  </x:mergeCells>
  <x:conditionalFormatting sqref="A14:F31">
    <x:cfRule type="expression" dxfId="2" priority="1">
      <x:formula>MOD($A14,2)=0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5" t="str">
        <x:v>Préstamo con amortización francesa — 24 meses</x:v>
      </x:c>
      <x:c r="B1" s="5"/>
      <x:c r="C1" s="5"/>
      <x:c r="D1" s="5"/>
      <x:c r="E1" s="5"/>
      <x:c r="F1" s="5"/>
    </x:row>
    <x:row r="3">
      <x:c r="A3" s="11" t="str">
        <x:v>Monto del préstamo ($)</x:v>
      </x:c>
      <x:c r="B3" s="44" t="n">
        <x:v>1000000</x:v>
      </x:c>
    </x:row>
    <x:row r="4">
      <x:c r="A4" s="11" t="str">
        <x:v>Tasa de interés mensual (%)</x:v>
      </x:c>
      <x:c r="B4" s="46" t="n">
        <x:v>5</x:v>
      </x:c>
    </x:row>
    <x:row r="5">
      <x:c r="A5" s="12" t="str">
        <x:v>Plazo (meses)</x:v>
      </x:c>
      <x:c r="B5" s="48" t="n">
        <x:v>24</x:v>
      </x:c>
    </x:row>
    <x:row r="7">
      <x:c r="A7" s="35" t="str">
        <x:v>Cuota mensual ($)</x:v>
      </x:c>
      <x:c r="B7" s="50" t="n">
        <x:f>IF(B4=0,B3/B5,B3*(B4/100)/(1-(1+B4/100)^(-B5)))</x:f>
        <x:v>72470.90075268698</x:v>
      </x:c>
    </x:row>
    <x:row r="8">
      <x:c r="A8" s="35" t="str">
        <x:v>Total pagado ($)</x:v>
      </x:c>
      <x:c r="B8" s="50" t="n">
        <x:f>B7*B5</x:f>
        <x:v>1739301.6180644876</x:v>
      </x:c>
    </x:row>
    <x:row r="9">
      <x:c r="A9" s="35" t="str">
        <x:v>Intereses totales ($)</x:v>
      </x:c>
      <x:c r="B9" s="50" t="n">
        <x:f>B8-B3</x:f>
        <x:v>739301.6180644876</x:v>
      </x:c>
    </x:row>
    <x:row r="11" ht="30" customHeight="1">
      <x:c r="A11" s="53" t="str">
        <x:v>Editá solamente las celdas amarillas B3 y B4. La tasa ingresada debe ser mensual (por ejemplo, 5 = 5% mensual).</x:v>
      </x:c>
      <x:c r="B11" s="53"/>
      <x:c r="C11" s="53"/>
      <x:c r="D11" s="53"/>
      <x:c r="E11" s="53"/>
      <x:c r="F11" s="53"/>
    </x:row>
    <x:row r="13" ht="24" customHeight="1">
      <x:c r="A13" s="60" t="str">
        <x:v>Cuota N°</x:v>
      </x:c>
      <x:c r="B13" s="60" t="str">
        <x:v>Saldo inicial ($)</x:v>
      </x:c>
      <x:c r="C13" s="60" t="str">
        <x:v>Cuota ($)</x:v>
      </x:c>
      <x:c r="D13" s="60" t="str">
        <x:v>Interés ($)</x:v>
      </x:c>
      <x:c r="E13" s="60" t="str">
        <x:v>Amortización ($)</x:v>
      </x:c>
      <x:c r="F13" s="60" t="str">
        <x:v>Saldo final ($)</x:v>
      </x:c>
    </x:row>
    <x:row r="14">
      <x:c r="A14" s="74" t="n">
        <x:v>1</x:v>
      </x:c>
      <x:c r="B14" s="78" t="n">
        <x:f>$B$3</x:f>
        <x:v>1000000</x:v>
      </x:c>
      <x:c r="C14" s="78" t="n">
        <x:f>$B$7</x:f>
        <x:v>72470.90075268698</x:v>
      </x:c>
      <x:c r="D14" s="78" t="n">
        <x:f>B14*($B$4/100)</x:f>
        <x:v>50000</x:v>
      </x:c>
      <x:c r="E14" s="78" t="n">
        <x:f>C14-D14</x:f>
        <x:v>22470.900752686983</x:v>
      </x:c>
      <x:c r="F14" s="78" t="n">
        <x:f>IF(A14=$B$5,0,MAX(0,B14-E14))</x:f>
        <x:v>977529.099247313</x:v>
      </x:c>
    </x:row>
    <x:row r="15">
      <x:c r="A15" s="74" t="n">
        <x:v>2</x:v>
      </x:c>
      <x:c r="B15" s="78" t="n">
        <x:f>F14</x:f>
        <x:v>977529.099247313</x:v>
      </x:c>
      <x:c r="C15" s="78" t="n">
        <x:f>$B$7</x:f>
        <x:v>72470.90075268698</x:v>
      </x:c>
      <x:c r="D15" s="78" t="n">
        <x:f>B15*($B$4/100)</x:f>
        <x:v>48876.45496236565</x:v>
      </x:c>
      <x:c r="E15" s="78" t="n">
        <x:f>C15-D15</x:f>
        <x:v>23594.445790321333</x:v>
      </x:c>
      <x:c r="F15" s="78" t="n">
        <x:f>IF(A15=$B$5,0,MAX(0,B15-E15))</x:f>
        <x:v>953934.6534569917</x:v>
      </x:c>
    </x:row>
    <x:row r="16">
      <x:c r="A16" s="74" t="n">
        <x:v>3</x:v>
      </x:c>
      <x:c r="B16" s="78" t="n">
        <x:f>F15</x:f>
        <x:v>953934.6534569917</x:v>
      </x:c>
      <x:c r="C16" s="78" t="n">
        <x:f>$B$7</x:f>
        <x:v>72470.90075268698</x:v>
      </x:c>
      <x:c r="D16" s="78" t="n">
        <x:f>B16*($B$4/100)</x:f>
        <x:v>47696.73267284958</x:v>
      </x:c>
      <x:c r="E16" s="78" t="n">
        <x:f>C16-D16</x:f>
        <x:v>24774.1680798374</x:v>
      </x:c>
      <x:c r="F16" s="78" t="n">
        <x:f>IF(A16=$B$5,0,MAX(0,B16-E16))</x:f>
        <x:v>929160.4853771543</x:v>
      </x:c>
    </x:row>
    <x:row r="17">
      <x:c r="A17" s="74" t="n">
        <x:v>4</x:v>
      </x:c>
      <x:c r="B17" s="78" t="n">
        <x:f>F16</x:f>
        <x:v>929160.4853771543</x:v>
      </x:c>
      <x:c r="C17" s="78" t="n">
        <x:f>$B$7</x:f>
        <x:v>72470.90075268698</x:v>
      </x:c>
      <x:c r="D17" s="78" t="n">
        <x:f>B17*($B$4/100)</x:f>
        <x:v>46458.02426885772</x:v>
      </x:c>
      <x:c r="E17" s="78" t="n">
        <x:f>C17-D17</x:f>
        <x:v>26012.876483829263</x:v>
      </x:c>
      <x:c r="F17" s="78" t="n">
        <x:f>IF(A17=$B$5,0,MAX(0,B17-E17))</x:f>
        <x:v>903147.6088933251</x:v>
      </x:c>
    </x:row>
    <x:row r="18">
      <x:c r="A18" s="74" t="n">
        <x:v>5</x:v>
      </x:c>
      <x:c r="B18" s="78" t="n">
        <x:f>F17</x:f>
        <x:v>903147.6088933251</x:v>
      </x:c>
      <x:c r="C18" s="78" t="n">
        <x:f>$B$7</x:f>
        <x:v>72470.90075268698</x:v>
      </x:c>
      <x:c r="D18" s="78" t="n">
        <x:f>B18*($B$4/100)</x:f>
        <x:v>45157.380444666254</x:v>
      </x:c>
      <x:c r="E18" s="78" t="n">
        <x:f>C18-D18</x:f>
        <x:v>27313.52030802073</x:v>
      </x:c>
      <x:c r="F18" s="78" t="n">
        <x:f>IF(A18=$B$5,0,MAX(0,B18-E18))</x:f>
        <x:v>875834.0885853043</x:v>
      </x:c>
    </x:row>
    <x:row r="19">
      <x:c r="A19" s="74" t="n">
        <x:v>6</x:v>
      </x:c>
      <x:c r="B19" s="78" t="n">
        <x:f>F18</x:f>
        <x:v>875834.0885853043</x:v>
      </x:c>
      <x:c r="C19" s="78" t="n">
        <x:f>$B$7</x:f>
        <x:v>72470.90075268698</x:v>
      </x:c>
      <x:c r="D19" s="78" t="n">
        <x:f>B19*($B$4/100)</x:f>
        <x:v>43791.70442926522</x:v>
      </x:c>
      <x:c r="E19" s="78" t="n">
        <x:f>C19-D19</x:f>
        <x:v>28679.196323421762</x:v>
      </x:c>
      <x:c r="F19" s="78" t="n">
        <x:f>IF(A19=$B$5,0,MAX(0,B19-E19))</x:f>
        <x:v>847154.8922618825</x:v>
      </x:c>
    </x:row>
    <x:row r="20">
      <x:c r="A20" s="74" t="n">
        <x:v>7</x:v>
      </x:c>
      <x:c r="B20" s="78" t="n">
        <x:f>F19</x:f>
        <x:v>847154.8922618825</x:v>
      </x:c>
      <x:c r="C20" s="78" t="n">
        <x:f>$B$7</x:f>
        <x:v>72470.90075268698</x:v>
      </x:c>
      <x:c r="D20" s="78" t="n">
        <x:f>B20*($B$4/100)</x:f>
        <x:v>42357.74461309413</x:v>
      </x:c>
      <x:c r="E20" s="78" t="n">
        <x:f>C20-D20</x:f>
        <x:v>30113.15613959285</x:v>
      </x:c>
      <x:c r="F20" s="78" t="n">
        <x:f>IF(A20=$B$5,0,MAX(0,B20-E20))</x:f>
        <x:v>817041.7361222897</x:v>
      </x:c>
    </x:row>
    <x:row r="21">
      <x:c r="A21" s="74" t="n">
        <x:v>8</x:v>
      </x:c>
      <x:c r="B21" s="78" t="n">
        <x:f>F20</x:f>
        <x:v>817041.7361222897</x:v>
      </x:c>
      <x:c r="C21" s="78" t="n">
        <x:f>$B$7</x:f>
        <x:v>72470.90075268698</x:v>
      </x:c>
      <x:c r="D21" s="78" t="n">
        <x:f>B21*($B$4/100)</x:f>
        <x:v>40852.08680611449</x:v>
      </x:c>
      <x:c r="E21" s="78" t="n">
        <x:f>C21-D21</x:f>
        <x:v>31618.813946572496</x:v>
      </x:c>
      <x:c r="F21" s="78" t="n">
        <x:f>IF(A21=$B$5,0,MAX(0,B21-E21))</x:f>
        <x:v>785422.9221757172</x:v>
      </x:c>
    </x:row>
    <x:row r="22">
      <x:c r="A22" s="74" t="n">
        <x:v>9</x:v>
      </x:c>
      <x:c r="B22" s="78" t="n">
        <x:f>F21</x:f>
        <x:v>785422.9221757172</x:v>
      </x:c>
      <x:c r="C22" s="78" t="n">
        <x:f>$B$7</x:f>
        <x:v>72470.90075268698</x:v>
      </x:c>
      <x:c r="D22" s="78" t="n">
        <x:f>B22*($B$4/100)</x:f>
        <x:v>39271.14610878586</x:v>
      </x:c>
      <x:c r="E22" s="78" t="n">
        <x:f>C22-D22</x:f>
        <x:v>33199.75464390112</x:v>
      </x:c>
      <x:c r="F22" s="78" t="n">
        <x:f>IF(A22=$B$5,0,MAX(0,B22-E22))</x:f>
        <x:v>752223.167531816</x:v>
      </x:c>
    </x:row>
    <x:row r="23">
      <x:c r="A23" s="74" t="n">
        <x:v>10</x:v>
      </x:c>
      <x:c r="B23" s="78" t="n">
        <x:f>F22</x:f>
        <x:v>752223.167531816</x:v>
      </x:c>
      <x:c r="C23" s="78" t="n">
        <x:f>$B$7</x:f>
        <x:v>72470.90075268698</x:v>
      </x:c>
      <x:c r="D23" s="78" t="n">
        <x:f>B23*($B$4/100)</x:f>
        <x:v>37611.15837659081</x:v>
      </x:c>
      <x:c r="E23" s="78" t="n">
        <x:f>C23-D23</x:f>
        <x:v>34859.742376096176</x:v>
      </x:c>
      <x:c r="F23" s="78" t="n">
        <x:f>IF(A23=$B$5,0,MAX(0,B23-E23))</x:f>
        <x:v>717363.4251557199</x:v>
      </x:c>
    </x:row>
    <x:row r="24">
      <x:c r="A24" s="74" t="n">
        <x:v>11</x:v>
      </x:c>
      <x:c r="B24" s="78" t="n">
        <x:f>F23</x:f>
        <x:v>717363.4251557199</x:v>
      </x:c>
      <x:c r="C24" s="78" t="n">
        <x:f>$B$7</x:f>
        <x:v>72470.90075268698</x:v>
      </x:c>
      <x:c r="D24" s="78" t="n">
        <x:f>B24*($B$4/100)</x:f>
        <x:v>35868.171257785994</x:v>
      </x:c>
      <x:c r="E24" s="78" t="n">
        <x:f>C24-D24</x:f>
        <x:v>36602.72949490099</x:v>
      </x:c>
      <x:c r="F24" s="78" t="n">
        <x:f>IF(A24=$B$5,0,MAX(0,B24-E24))</x:f>
        <x:v>680760.6956608188</x:v>
      </x:c>
    </x:row>
    <x:row r="25">
      <x:c r="A25" s="74" t="n">
        <x:v>12</x:v>
      </x:c>
      <x:c r="B25" s="78" t="n">
        <x:f>F24</x:f>
        <x:v>680760.6956608188</x:v>
      </x:c>
      <x:c r="C25" s="78" t="n">
        <x:f>$B$7</x:f>
        <x:v>72470.90075268698</x:v>
      </x:c>
      <x:c r="D25" s="78" t="n">
        <x:f>B25*($B$4/100)</x:f>
        <x:v>34038.034783040945</x:v>
      </x:c>
      <x:c r="E25" s="78" t="n">
        <x:f>C25-D25</x:f>
        <x:v>38432.86596964604</x:v>
      </x:c>
      <x:c r="F25" s="78" t="n">
        <x:f>IF(A25=$B$5,0,MAX(0,B25-E25))</x:f>
        <x:v>642327.8296911728</x:v>
      </x:c>
    </x:row>
    <x:row r="26">
      <x:c r="A26" s="74" t="n">
        <x:v>13</x:v>
      </x:c>
      <x:c r="B26" s="78" t="n">
        <x:f>F25</x:f>
        <x:v>642327.8296911728</x:v>
      </x:c>
      <x:c r="C26" s="78" t="n">
        <x:f>$B$7</x:f>
        <x:v>72470.90075268698</x:v>
      </x:c>
      <x:c r="D26" s="78" t="n">
        <x:f>B26*($B$4/100)</x:f>
        <x:v>32116.39148455864</x:v>
      </x:c>
      <x:c r="E26" s="78" t="n">
        <x:f>C26-D26</x:f>
        <x:v>40354.50926812834</x:v>
      </x:c>
      <x:c r="F26" s="78" t="n">
        <x:f>IF(A26=$B$5,0,MAX(0,B26-E26))</x:f>
        <x:v>601973.3204230445</x:v>
      </x:c>
    </x:row>
    <x:row r="27">
      <x:c r="A27" s="74" t="n">
        <x:v>14</x:v>
      </x:c>
      <x:c r="B27" s="78" t="n">
        <x:f>F26</x:f>
        <x:v>601973.3204230445</x:v>
      </x:c>
      <x:c r="C27" s="78" t="n">
        <x:f>$B$7</x:f>
        <x:v>72470.90075268698</x:v>
      </x:c>
      <x:c r="D27" s="78" t="n">
        <x:f>B27*($B$4/100)</x:f>
        <x:v>30098.666021152225</x:v>
      </x:c>
      <x:c r="E27" s="78" t="n">
        <x:f>C27-D27</x:f>
        <x:v>42372.23473153476</x:v>
      </x:c>
      <x:c r="F27" s="78" t="n">
        <x:f>IF(A27=$B$5,0,MAX(0,B27-E27))</x:f>
        <x:v>559601.0856915098</x:v>
      </x:c>
    </x:row>
    <x:row r="28">
      <x:c r="A28" s="74" t="n">
        <x:v>15</x:v>
      </x:c>
      <x:c r="B28" s="78" t="n">
        <x:f>F27</x:f>
        <x:v>559601.0856915098</x:v>
      </x:c>
      <x:c r="C28" s="78" t="n">
        <x:f>$B$7</x:f>
        <x:v>72470.90075268698</x:v>
      </x:c>
      <x:c r="D28" s="78" t="n">
        <x:f>B28*($B$4/100)</x:f>
        <x:v>27980.05428457549</x:v>
      </x:c>
      <x:c r="E28" s="78" t="n">
        <x:f>C28-D28</x:f>
        <x:v>44490.84646811149</x:v>
      </x:c>
      <x:c r="F28" s="78" t="n">
        <x:f>IF(A28=$B$5,0,MAX(0,B28-E28))</x:f>
        <x:v>515110.23922339827</x:v>
      </x:c>
    </x:row>
    <x:row r="29">
      <x:c r="A29" s="74" t="n">
        <x:v>16</x:v>
      </x:c>
      <x:c r="B29" s="78" t="n">
        <x:f>F28</x:f>
        <x:v>515110.23922339827</x:v>
      </x:c>
      <x:c r="C29" s="78" t="n">
        <x:f>$B$7</x:f>
        <x:v>72470.90075268698</x:v>
      </x:c>
      <x:c r="D29" s="78" t="n">
        <x:f>B29*($B$4/100)</x:f>
        <x:v>25755.511961169916</x:v>
      </x:c>
      <x:c r="E29" s="78" t="n">
        <x:f>C29-D29</x:f>
        <x:v>46715.38879151706</x:v>
      </x:c>
      <x:c r="F29" s="78" t="n">
        <x:f>IF(A29=$B$5,0,MAX(0,B29-E29))</x:f>
        <x:v>468394.8504318812</x:v>
      </x:c>
    </x:row>
    <x:row r="30">
      <x:c r="A30" s="74" t="n">
        <x:v>17</x:v>
      </x:c>
      <x:c r="B30" s="78" t="n">
        <x:f>F29</x:f>
        <x:v>468394.8504318812</x:v>
      </x:c>
      <x:c r="C30" s="78" t="n">
        <x:f>$B$7</x:f>
        <x:v>72470.90075268698</x:v>
      </x:c>
      <x:c r="D30" s="78" t="n">
        <x:f>B30*($B$4/100)</x:f>
        <x:v>23419.74252159406</x:v>
      </x:c>
      <x:c r="E30" s="78" t="n">
        <x:f>C30-D30</x:f>
        <x:v>49051.15823109292</x:v>
      </x:c>
      <x:c r="F30" s="78" t="n">
        <x:f>IF(A30=$B$5,0,MAX(0,B30-E30))</x:f>
        <x:v>419343.6922007883</x:v>
      </x:c>
    </x:row>
    <x:row r="31">
      <x:c r="A31" s="74" t="n">
        <x:v>18</x:v>
      </x:c>
      <x:c r="B31" s="78" t="n">
        <x:f>F30</x:f>
        <x:v>419343.6922007883</x:v>
      </x:c>
      <x:c r="C31" s="78" t="n">
        <x:f>$B$7</x:f>
        <x:v>72470.90075268698</x:v>
      </x:c>
      <x:c r="D31" s="78" t="n">
        <x:f>B31*($B$4/100)</x:f>
        <x:v>20967.184610039418</x:v>
      </x:c>
      <x:c r="E31" s="78" t="n">
        <x:f>C31-D31</x:f>
        <x:v>51503.716142647565</x:v>
      </x:c>
      <x:c r="F31" s="78" t="n">
        <x:f>IF(A31=$B$5,0,MAX(0,B31-E31))</x:f>
        <x:v>367839.97605814075</x:v>
      </x:c>
    </x:row>
    <x:row r="32">
      <x:c r="A32" s="74" t="n">
        <x:v>19</x:v>
      </x:c>
      <x:c r="B32" s="78" t="n">
        <x:f>F31</x:f>
        <x:v>367839.97605814075</x:v>
      </x:c>
      <x:c r="C32" s="78" t="n">
        <x:f>$B$7</x:f>
        <x:v>72470.90075268698</x:v>
      </x:c>
      <x:c r="D32" s="78" t="n">
        <x:f>B32*($B$4/100)</x:f>
        <x:v>18391.998802907037</x:v>
      </x:c>
      <x:c r="E32" s="78" t="n">
        <x:f>C32-D32</x:f>
        <x:v>54078.901949779945</x:v>
      </x:c>
      <x:c r="F32" s="78" t="n">
        <x:f>IF(A32=$B$5,0,MAX(0,B32-E32))</x:f>
        <x:v>313761.0741083608</x:v>
      </x:c>
    </x:row>
    <x:row r="33">
      <x:c r="A33" s="74" t="n">
        <x:v>20</x:v>
      </x:c>
      <x:c r="B33" s="78" t="n">
        <x:f>F32</x:f>
        <x:v>313761.0741083608</x:v>
      </x:c>
      <x:c r="C33" s="78" t="n">
        <x:f>$B$7</x:f>
        <x:v>72470.90075268698</x:v>
      </x:c>
      <x:c r="D33" s="78" t="n">
        <x:f>B33*($B$4/100)</x:f>
        <x:v>15688.05370541804</x:v>
      </x:c>
      <x:c r="E33" s="78" t="n">
        <x:f>C33-D33</x:f>
        <x:v>56782.847047268944</x:v>
      </x:c>
      <x:c r="F33" s="78" t="n">
        <x:f>IF(A33=$B$5,0,MAX(0,B33-E33))</x:f>
        <x:v>256978.22706109186</x:v>
      </x:c>
    </x:row>
    <x:row r="34">
      <x:c r="A34" s="74" t="n">
        <x:v>21</x:v>
      </x:c>
      <x:c r="B34" s="78" t="n">
        <x:f>F33</x:f>
        <x:v>256978.22706109186</x:v>
      </x:c>
      <x:c r="C34" s="78" t="n">
        <x:f>$B$7</x:f>
        <x:v>72470.90075268698</x:v>
      </x:c>
      <x:c r="D34" s="78" t="n">
        <x:f>B34*($B$4/100)</x:f>
        <x:v>12848.911353054595</x:v>
      </x:c>
      <x:c r="E34" s="78" t="n">
        <x:f>C34-D34</x:f>
        <x:v>59621.98939963239</x:v>
      </x:c>
      <x:c r="F34" s="78" t="n">
        <x:f>IF(A34=$B$5,0,MAX(0,B34-E34))</x:f>
        <x:v>197356.23766145948</x:v>
      </x:c>
    </x:row>
    <x:row r="35">
      <x:c r="A35" s="74" t="n">
        <x:v>22</x:v>
      </x:c>
      <x:c r="B35" s="78" t="n">
        <x:f>F34</x:f>
        <x:v>197356.23766145948</x:v>
      </x:c>
      <x:c r="C35" s="78" t="n">
        <x:f>$B$7</x:f>
        <x:v>72470.90075268698</x:v>
      </x:c>
      <x:c r="D35" s="78" t="n">
        <x:f>B35*($B$4/100)</x:f>
        <x:v>9867.811883072975</x:v>
      </x:c>
      <x:c r="E35" s="78" t="n">
        <x:f>C35-D35</x:f>
        <x:v>62603.08886961401</x:v>
      </x:c>
      <x:c r="F35" s="78" t="n">
        <x:f>IF(A35=$B$5,0,MAX(0,B35-E35))</x:f>
        <x:v>134753.14879184548</x:v>
      </x:c>
    </x:row>
    <x:row r="36">
      <x:c r="A36" s="74" t="n">
        <x:v>23</x:v>
      </x:c>
      <x:c r="B36" s="78" t="n">
        <x:f>F35</x:f>
        <x:v>134753.14879184548</x:v>
      </x:c>
      <x:c r="C36" s="78" t="n">
        <x:f>$B$7</x:f>
        <x:v>72470.90075268698</x:v>
      </x:c>
      <x:c r="D36" s="78" t="n">
        <x:f>B36*($B$4/100)</x:f>
        <x:v>6737.657439592274</x:v>
      </x:c>
      <x:c r="E36" s="78" t="n">
        <x:f>C36-D36</x:f>
        <x:v>65733.2433130947</x:v>
      </x:c>
      <x:c r="F36" s="78" t="n">
        <x:f>IF(A36=$B$5,0,MAX(0,B36-E36))</x:f>
        <x:v>69019.90547875078</x:v>
      </x:c>
    </x:row>
    <x:row r="37">
      <x:c r="A37" s="75" t="n">
        <x:v>24</x:v>
      </x:c>
      <x:c r="B37" s="79" t="n">
        <x:f>F36</x:f>
        <x:v>69019.90547875078</x:v>
      </x:c>
      <x:c r="C37" s="79" t="n">
        <x:f>$B$7</x:f>
        <x:v>72470.90075268698</x:v>
      </x:c>
      <x:c r="D37" s="79" t="n">
        <x:f>B37*($B$4/100)</x:f>
        <x:v>3450.995273937539</x:v>
      </x:c>
      <x:c r="E37" s="79" t="n">
        <x:f>C37-D37</x:f>
        <x:v>69019.90547874944</x:v>
      </x:c>
      <x:c r="F37" s="79" t="n">
        <x:f>IF(A37=$B$5,0,MAX(0,B37-E37))</x:f>
        <x:v>0</x:v>
      </x:c>
    </x:row>
  </x:sheetData>
  <x:mergeCells>
    <x:mergeCell ref="A1:F1"/>
    <x:mergeCell ref="A11:F11"/>
  </x:mergeCells>
  <x:conditionalFormatting sqref="A14:F37">
    <x:cfRule type="expression" dxfId="3" priority="1">
      <x:formula>MOD($A14,2)=0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5" t="str">
        <x:v>Préstamo con amortización francesa — 30 meses</x:v>
      </x:c>
      <x:c r="B1" s="5"/>
      <x:c r="C1" s="5"/>
      <x:c r="D1" s="5"/>
      <x:c r="E1" s="5"/>
      <x:c r="F1" s="5"/>
    </x:row>
    <x:row r="3">
      <x:c r="A3" s="11" t="str">
        <x:v>Monto del préstamo ($)</x:v>
      </x:c>
      <x:c r="B3" s="44" t="n">
        <x:v>1000000</x:v>
      </x:c>
    </x:row>
    <x:row r="4">
      <x:c r="A4" s="11" t="str">
        <x:v>Tasa de interés mensual (%)</x:v>
      </x:c>
      <x:c r="B4" s="46" t="n">
        <x:v>5</x:v>
      </x:c>
    </x:row>
    <x:row r="5">
      <x:c r="A5" s="12" t="str">
        <x:v>Plazo (meses)</x:v>
      </x:c>
      <x:c r="B5" s="48" t="n">
        <x:v>30</x:v>
      </x:c>
    </x:row>
    <x:row r="7">
      <x:c r="A7" s="35" t="str">
        <x:v>Cuota mensual ($)</x:v>
      </x:c>
      <x:c r="B7" s="50" t="n">
        <x:f>IF(B4=0,B3/B5,B3*(B4/100)/(1-(1+B4/100)^(-B5)))</x:f>
        <x:v>65051.43508027656</x:v>
      </x:c>
    </x:row>
    <x:row r="8">
      <x:c r="A8" s="35" t="str">
        <x:v>Total pagado ($)</x:v>
      </x:c>
      <x:c r="B8" s="50" t="n">
        <x:f>B7*B5</x:f>
        <x:v>1951543.0524082968</x:v>
      </x:c>
    </x:row>
    <x:row r="9">
      <x:c r="A9" s="35" t="str">
        <x:v>Intereses totales ($)</x:v>
      </x:c>
      <x:c r="B9" s="50" t="n">
        <x:f>B8-B3</x:f>
        <x:v>951543.0524082968</x:v>
      </x:c>
    </x:row>
    <x:row r="11" ht="30" customHeight="1">
      <x:c r="A11" s="53" t="str">
        <x:v>Editá solamente las celdas amarillas B3 y B4. La tasa ingresada debe ser mensual (por ejemplo, 5 = 5% mensual).</x:v>
      </x:c>
      <x:c r="B11" s="53"/>
      <x:c r="C11" s="53"/>
      <x:c r="D11" s="53"/>
      <x:c r="E11" s="53"/>
      <x:c r="F11" s="53"/>
    </x:row>
    <x:row r="13" ht="24" customHeight="1">
      <x:c r="A13" s="60" t="str">
        <x:v>Cuota N°</x:v>
      </x:c>
      <x:c r="B13" s="60" t="str">
        <x:v>Saldo inicial ($)</x:v>
      </x:c>
      <x:c r="C13" s="60" t="str">
        <x:v>Cuota ($)</x:v>
      </x:c>
      <x:c r="D13" s="60" t="str">
        <x:v>Interés ($)</x:v>
      </x:c>
      <x:c r="E13" s="60" t="str">
        <x:v>Amortización ($)</x:v>
      </x:c>
      <x:c r="F13" s="60" t="str">
        <x:v>Saldo final ($)</x:v>
      </x:c>
    </x:row>
    <x:row r="14">
      <x:c r="A14" s="74" t="n">
        <x:v>1</x:v>
      </x:c>
      <x:c r="B14" s="78" t="n">
        <x:f>$B$3</x:f>
        <x:v>1000000</x:v>
      </x:c>
      <x:c r="C14" s="78" t="n">
        <x:f>$B$7</x:f>
        <x:v>65051.43508027656</x:v>
      </x:c>
      <x:c r="D14" s="78" t="n">
        <x:f>B14*($B$4/100)</x:f>
        <x:v>50000</x:v>
      </x:c>
      <x:c r="E14" s="78" t="n">
        <x:f>C14-D14</x:f>
        <x:v>15051.435080276562</x:v>
      </x:c>
      <x:c r="F14" s="78" t="n">
        <x:f>IF(A14=$B$5,0,MAX(0,B14-E14))</x:f>
        <x:v>984948.5649197234</x:v>
      </x:c>
    </x:row>
    <x:row r="15">
      <x:c r="A15" s="74" t="n">
        <x:v>2</x:v>
      </x:c>
      <x:c r="B15" s="78" t="n">
        <x:f>F14</x:f>
        <x:v>984948.5649197234</x:v>
      </x:c>
      <x:c r="C15" s="78" t="n">
        <x:f>$B$7</x:f>
        <x:v>65051.43508027656</x:v>
      </x:c>
      <x:c r="D15" s="78" t="n">
        <x:f>B15*($B$4/100)</x:f>
        <x:v>49247.42824598617</x:v>
      </x:c>
      <x:c r="E15" s="78" t="n">
        <x:f>C15-D15</x:f>
        <x:v>15804.00683429039</x:v>
      </x:c>
      <x:c r="F15" s="78" t="n">
        <x:f>IF(A15=$B$5,0,MAX(0,B15-E15))</x:f>
        <x:v>969144.5580854331</x:v>
      </x:c>
    </x:row>
    <x:row r="16">
      <x:c r="A16" s="74" t="n">
        <x:v>3</x:v>
      </x:c>
      <x:c r="B16" s="78" t="n">
        <x:f>F15</x:f>
        <x:v>969144.5580854331</x:v>
      </x:c>
      <x:c r="C16" s="78" t="n">
        <x:f>$B$7</x:f>
        <x:v>65051.43508027656</x:v>
      </x:c>
      <x:c r="D16" s="78" t="n">
        <x:f>B16*($B$4/100)</x:f>
        <x:v>48457.227904271655</x:v>
      </x:c>
      <x:c r="E16" s="78" t="n">
        <x:f>C16-D16</x:f>
        <x:v>16594.207176004908</x:v>
      </x:c>
      <x:c r="F16" s="78" t="n">
        <x:f>IF(A16=$B$5,0,MAX(0,B16-E16))</x:f>
        <x:v>952550.3509094282</x:v>
      </x:c>
    </x:row>
    <x:row r="17">
      <x:c r="A17" s="74" t="n">
        <x:v>4</x:v>
      </x:c>
      <x:c r="B17" s="78" t="n">
        <x:f>F16</x:f>
        <x:v>952550.3509094282</x:v>
      </x:c>
      <x:c r="C17" s="78" t="n">
        <x:f>$B$7</x:f>
        <x:v>65051.43508027656</x:v>
      </x:c>
      <x:c r="D17" s="78" t="n">
        <x:f>B17*($B$4/100)</x:f>
        <x:v>47627.51754547141</x:v>
      </x:c>
      <x:c r="E17" s="78" t="n">
        <x:f>C17-D17</x:f>
        <x:v>17423.91753480515</x:v>
      </x:c>
      <x:c r="F17" s="78" t="n">
        <x:f>IF(A17=$B$5,0,MAX(0,B17-E17))</x:f>
        <x:v>935126.4333746231</x:v>
      </x:c>
    </x:row>
    <x:row r="18">
      <x:c r="A18" s="74" t="n">
        <x:v>5</x:v>
      </x:c>
      <x:c r="B18" s="78" t="n">
        <x:f>F17</x:f>
        <x:v>935126.4333746231</x:v>
      </x:c>
      <x:c r="C18" s="78" t="n">
        <x:f>$B$7</x:f>
        <x:v>65051.43508027656</x:v>
      </x:c>
      <x:c r="D18" s="78" t="n">
        <x:f>B18*($B$4/100)</x:f>
        <x:v>46756.32166873116</x:v>
      </x:c>
      <x:c r="E18" s="78" t="n">
        <x:f>C18-D18</x:f>
        <x:v>18295.113411545404</x:v>
      </x:c>
      <x:c r="F18" s="78" t="n">
        <x:f>IF(A18=$B$5,0,MAX(0,B18-E18))</x:f>
        <x:v>916831.3199630777</x:v>
      </x:c>
    </x:row>
    <x:row r="19">
      <x:c r="A19" s="74" t="n">
        <x:v>6</x:v>
      </x:c>
      <x:c r="B19" s="78" t="n">
        <x:f>F18</x:f>
        <x:v>916831.3199630777</x:v>
      </x:c>
      <x:c r="C19" s="78" t="n">
        <x:f>$B$7</x:f>
        <x:v>65051.43508027656</x:v>
      </x:c>
      <x:c r="D19" s="78" t="n">
        <x:f>B19*($B$4/100)</x:f>
        <x:v>45841.565998153885</x:v>
      </x:c>
      <x:c r="E19" s="78" t="n">
        <x:f>C19-D19</x:f>
        <x:v>19209.869082122677</x:v>
      </x:c>
      <x:c r="F19" s="78" t="n">
        <x:f>IF(A19=$B$5,0,MAX(0,B19-E19))</x:f>
        <x:v>897621.450880955</x:v>
      </x:c>
    </x:row>
    <x:row r="20">
      <x:c r="A20" s="74" t="n">
        <x:v>7</x:v>
      </x:c>
      <x:c r="B20" s="78" t="n">
        <x:f>F19</x:f>
        <x:v>897621.450880955</x:v>
      </x:c>
      <x:c r="C20" s="78" t="n">
        <x:f>$B$7</x:f>
        <x:v>65051.43508027656</x:v>
      </x:c>
      <x:c r="D20" s="78" t="n">
        <x:f>B20*($B$4/100)</x:f>
        <x:v>44881.072544047754</x:v>
      </x:c>
      <x:c r="E20" s="78" t="n">
        <x:f>C20-D20</x:f>
        <x:v>20170.362536228808</x:v>
      </x:c>
      <x:c r="F20" s="78" t="n">
        <x:f>IF(A20=$B$5,0,MAX(0,B20-E20))</x:f>
        <x:v>877451.0883447261</x:v>
      </x:c>
    </x:row>
    <x:row r="21">
      <x:c r="A21" s="74" t="n">
        <x:v>8</x:v>
      </x:c>
      <x:c r="B21" s="78" t="n">
        <x:f>F20</x:f>
        <x:v>877451.0883447261</x:v>
      </x:c>
      <x:c r="C21" s="78" t="n">
        <x:f>$B$7</x:f>
        <x:v>65051.43508027656</x:v>
      </x:c>
      <x:c r="D21" s="78" t="n">
        <x:f>B21*($B$4/100)</x:f>
        <x:v>43872.55441723631</x:v>
      </x:c>
      <x:c r="E21" s="78" t="n">
        <x:f>C21-D21</x:f>
        <x:v>21178.880663040254</x:v>
      </x:c>
      <x:c r="F21" s="78" t="n">
        <x:f>IF(A21=$B$5,0,MAX(0,B21-E21))</x:f>
        <x:v>856272.2076816859</x:v>
      </x:c>
    </x:row>
    <x:row r="22">
      <x:c r="A22" s="74" t="n">
        <x:v>9</x:v>
      </x:c>
      <x:c r="B22" s="78" t="n">
        <x:f>F21</x:f>
        <x:v>856272.2076816859</x:v>
      </x:c>
      <x:c r="C22" s="78" t="n">
        <x:f>$B$7</x:f>
        <x:v>65051.43508027656</x:v>
      </x:c>
      <x:c r="D22" s="78" t="n">
        <x:f>B22*($B$4/100)</x:f>
        <x:v>42813.6103840843</x:v>
      </x:c>
      <x:c r="E22" s="78" t="n">
        <x:f>C22-D22</x:f>
        <x:v>22237.824696192263</x:v>
      </x:c>
      <x:c r="F22" s="78" t="n">
        <x:f>IF(A22=$B$5,0,MAX(0,B22-E22))</x:f>
        <x:v>834034.3829854936</x:v>
      </x:c>
    </x:row>
    <x:row r="23">
      <x:c r="A23" s="74" t="n">
        <x:v>10</x:v>
      </x:c>
      <x:c r="B23" s="78" t="n">
        <x:f>F22</x:f>
        <x:v>834034.3829854936</x:v>
      </x:c>
      <x:c r="C23" s="78" t="n">
        <x:f>$B$7</x:f>
        <x:v>65051.43508027656</x:v>
      </x:c>
      <x:c r="D23" s="78" t="n">
        <x:f>B23*($B$4/100)</x:f>
        <x:v>41701.719149274686</x:v>
      </x:c>
      <x:c r="E23" s="78" t="n">
        <x:f>C23-D23</x:f>
        <x:v>23349.715931001876</x:v>
      </x:c>
      <x:c r="F23" s="78" t="n">
        <x:f>IF(A23=$B$5,0,MAX(0,B23-E23))</x:f>
        <x:v>810684.6670544918</x:v>
      </x:c>
    </x:row>
    <x:row r="24">
      <x:c r="A24" s="74" t="n">
        <x:v>11</x:v>
      </x:c>
      <x:c r="B24" s="78" t="n">
        <x:f>F23</x:f>
        <x:v>810684.6670544918</x:v>
      </x:c>
      <x:c r="C24" s="78" t="n">
        <x:f>$B$7</x:f>
        <x:v>65051.43508027656</x:v>
      </x:c>
      <x:c r="D24" s="78" t="n">
        <x:f>B24*($B$4/100)</x:f>
        <x:v>40534.233352724594</x:v>
      </x:c>
      <x:c r="E24" s="78" t="n">
        <x:f>C24-D24</x:f>
        <x:v>24517.20172755197</x:v>
      </x:c>
      <x:c r="F24" s="78" t="n">
        <x:f>IF(A24=$B$5,0,MAX(0,B24-E24))</x:f>
        <x:v>786167.4653269398</x:v>
      </x:c>
    </x:row>
    <x:row r="25">
      <x:c r="A25" s="74" t="n">
        <x:v>12</x:v>
      </x:c>
      <x:c r="B25" s="78" t="n">
        <x:f>F24</x:f>
        <x:v>786167.4653269398</x:v>
      </x:c>
      <x:c r="C25" s="78" t="n">
        <x:f>$B$7</x:f>
        <x:v>65051.43508027656</x:v>
      </x:c>
      <x:c r="D25" s="78" t="n">
        <x:f>B25*($B$4/100)</x:f>
        <x:v>39308.37326634699</x:v>
      </x:c>
      <x:c r="E25" s="78" t="n">
        <x:f>C25-D25</x:f>
        <x:v>25743.06181392957</x:v>
      </x:c>
      <x:c r="F25" s="78" t="n">
        <x:f>IF(A25=$B$5,0,MAX(0,B25-E25))</x:f>
        <x:v>760424.4035130102</x:v>
      </x:c>
    </x:row>
    <x:row r="26">
      <x:c r="A26" s="74" t="n">
        <x:v>13</x:v>
      </x:c>
      <x:c r="B26" s="78" t="n">
        <x:f>F25</x:f>
        <x:v>760424.4035130102</x:v>
      </x:c>
      <x:c r="C26" s="78" t="n">
        <x:f>$B$7</x:f>
        <x:v>65051.43508027656</x:v>
      </x:c>
      <x:c r="D26" s="78" t="n">
        <x:f>B26*($B$4/100)</x:f>
        <x:v>38021.22017565052</x:v>
      </x:c>
      <x:c r="E26" s="78" t="n">
        <x:f>C26-D26</x:f>
        <x:v>27030.214904626046</x:v>
      </x:c>
      <x:c r="F26" s="78" t="n">
        <x:f>IF(A26=$B$5,0,MAX(0,B26-E26))</x:f>
        <x:v>733394.1886083842</x:v>
      </x:c>
    </x:row>
    <x:row r="27">
      <x:c r="A27" s="74" t="n">
        <x:v>14</x:v>
      </x:c>
      <x:c r="B27" s="78" t="n">
        <x:f>F26</x:f>
        <x:v>733394.1886083842</x:v>
      </x:c>
      <x:c r="C27" s="78" t="n">
        <x:f>$B$7</x:f>
        <x:v>65051.43508027656</x:v>
      </x:c>
      <x:c r="D27" s="78" t="n">
        <x:f>B27*($B$4/100)</x:f>
        <x:v>36669.709430419214</x:v>
      </x:c>
      <x:c r="E27" s="78" t="n">
        <x:f>C27-D27</x:f>
        <x:v>28381.725649857348</x:v>
      </x:c>
      <x:c r="F27" s="78" t="n">
        <x:f>IF(A27=$B$5,0,MAX(0,B27-E27))</x:f>
        <x:v>705012.4629585269</x:v>
      </x:c>
    </x:row>
    <x:row r="28">
      <x:c r="A28" s="74" t="n">
        <x:v>15</x:v>
      </x:c>
      <x:c r="B28" s="78" t="n">
        <x:f>F27</x:f>
        <x:v>705012.4629585269</x:v>
      </x:c>
      <x:c r="C28" s="78" t="n">
        <x:f>$B$7</x:f>
        <x:v>65051.43508027656</x:v>
      </x:c>
      <x:c r="D28" s="78" t="n">
        <x:f>B28*($B$4/100)</x:f>
        <x:v>35250.623147926344</x:v>
      </x:c>
      <x:c r="E28" s="78" t="n">
        <x:f>C28-D28</x:f>
        <x:v>29800.811932350218</x:v>
      </x:c>
      <x:c r="F28" s="78" t="n">
        <x:f>IF(A28=$B$5,0,MAX(0,B28-E28))</x:f>
        <x:v>675211.6510261768</x:v>
      </x:c>
    </x:row>
    <x:row r="29">
      <x:c r="A29" s="74" t="n">
        <x:v>16</x:v>
      </x:c>
      <x:c r="B29" s="78" t="n">
        <x:f>F28</x:f>
        <x:v>675211.6510261768</x:v>
      </x:c>
      <x:c r="C29" s="78" t="n">
        <x:f>$B$7</x:f>
        <x:v>65051.43508027656</x:v>
      </x:c>
      <x:c r="D29" s="78" t="n">
        <x:f>B29*($B$4/100)</x:f>
        <x:v>33760.58255130884</x:v>
      </x:c>
      <x:c r="E29" s="78" t="n">
        <x:f>C29-D29</x:f>
        <x:v>31290.85252896772</x:v>
      </x:c>
      <x:c r="F29" s="78" t="n">
        <x:f>IF(A29=$B$5,0,MAX(0,B29-E29))</x:f>
        <x:v>643920.7984972091</x:v>
      </x:c>
    </x:row>
    <x:row r="30">
      <x:c r="A30" s="74" t="n">
        <x:v>17</x:v>
      </x:c>
      <x:c r="B30" s="78" t="n">
        <x:f>F29</x:f>
        <x:v>643920.7984972091</x:v>
      </x:c>
      <x:c r="C30" s="78" t="n">
        <x:f>$B$7</x:f>
        <x:v>65051.43508027656</x:v>
      </x:c>
      <x:c r="D30" s="78" t="n">
        <x:f>B30*($B$4/100)</x:f>
        <x:v>32196.039924860455</x:v>
      </x:c>
      <x:c r="E30" s="78" t="n">
        <x:f>C30-D30</x:f>
        <x:v>32855.3951554161</x:v>
      </x:c>
      <x:c r="F30" s="78" t="n">
        <x:f>IF(A30=$B$5,0,MAX(0,B30-E30))</x:f>
        <x:v>611065.403341793</x:v>
      </x:c>
    </x:row>
    <x:row r="31">
      <x:c r="A31" s="74" t="n">
        <x:v>18</x:v>
      </x:c>
      <x:c r="B31" s="78" t="n">
        <x:f>F30</x:f>
        <x:v>611065.403341793</x:v>
      </x:c>
      <x:c r="C31" s="78" t="n">
        <x:f>$B$7</x:f>
        <x:v>65051.43508027656</x:v>
      </x:c>
      <x:c r="D31" s="78" t="n">
        <x:f>B31*($B$4/100)</x:f>
        <x:v>30553.27016708965</x:v>
      </x:c>
      <x:c r="E31" s="78" t="n">
        <x:f>C31-D31</x:f>
        <x:v>34498.16491318691</x:v>
      </x:c>
      <x:c r="F31" s="78" t="n">
        <x:f>IF(A31=$B$5,0,MAX(0,B31-E31))</x:f>
        <x:v>576567.2384286061</x:v>
      </x:c>
    </x:row>
    <x:row r="32">
      <x:c r="A32" s="74" t="n">
        <x:v>19</x:v>
      </x:c>
      <x:c r="B32" s="78" t="n">
        <x:f>F31</x:f>
        <x:v>576567.2384286061</x:v>
      </x:c>
      <x:c r="C32" s="78" t="n">
        <x:f>$B$7</x:f>
        <x:v>65051.43508027656</x:v>
      </x:c>
      <x:c r="D32" s="78" t="n">
        <x:f>B32*($B$4/100)</x:f>
        <x:v>28828.361921430303</x:v>
      </x:c>
      <x:c r="E32" s="78" t="n">
        <x:f>C32-D32</x:f>
        <x:v>36223.07315884626</x:v>
      </x:c>
      <x:c r="F32" s="78" t="n">
        <x:f>IF(A32=$B$5,0,MAX(0,B32-E32))</x:f>
        <x:v>540344.1652697598</x:v>
      </x:c>
    </x:row>
    <x:row r="33">
      <x:c r="A33" s="74" t="n">
        <x:v>20</x:v>
      </x:c>
      <x:c r="B33" s="78" t="n">
        <x:f>F32</x:f>
        <x:v>540344.1652697598</x:v>
      </x:c>
      <x:c r="C33" s="78" t="n">
        <x:f>$B$7</x:f>
        <x:v>65051.43508027656</x:v>
      </x:c>
      <x:c r="D33" s="78" t="n">
        <x:f>B33*($B$4/100)</x:f>
        <x:v>27017.20826348799</x:v>
      </x:c>
      <x:c r="E33" s="78" t="n">
        <x:f>C33-D33</x:f>
        <x:v>38034.22681678857</x:v>
      </x:c>
      <x:c r="F33" s="78" t="n">
        <x:f>IF(A33=$B$5,0,MAX(0,B33-E33))</x:f>
        <x:v>502309.9384529713</x:v>
      </x:c>
    </x:row>
    <x:row r="34">
      <x:c r="A34" s="74" t="n">
        <x:v>21</x:v>
      </x:c>
      <x:c r="B34" s="78" t="n">
        <x:f>F33</x:f>
        <x:v>502309.9384529713</x:v>
      </x:c>
      <x:c r="C34" s="78" t="n">
        <x:f>$B$7</x:f>
        <x:v>65051.43508027656</x:v>
      </x:c>
      <x:c r="D34" s="78" t="n">
        <x:f>B34*($B$4/100)</x:f>
        <x:v>25115.496922648566</x:v>
      </x:c>
      <x:c r="E34" s="78" t="n">
        <x:f>C34-D34</x:f>
        <x:v>39935.938157628</x:v>
      </x:c>
      <x:c r="F34" s="78" t="n">
        <x:f>IF(A34=$B$5,0,MAX(0,B34-E34))</x:f>
        <x:v>462374.0002953433</x:v>
      </x:c>
    </x:row>
    <x:row r="35">
      <x:c r="A35" s="74" t="n">
        <x:v>22</x:v>
      </x:c>
      <x:c r="B35" s="78" t="n">
        <x:f>F34</x:f>
        <x:v>462374.0002953433</x:v>
      </x:c>
      <x:c r="C35" s="78" t="n">
        <x:f>$B$7</x:f>
        <x:v>65051.43508027656</x:v>
      </x:c>
      <x:c r="D35" s="78" t="n">
        <x:f>B35*($B$4/100)</x:f>
        <x:v>23118.700014767164</x:v>
      </x:c>
      <x:c r="E35" s="78" t="n">
        <x:f>C35-D35</x:f>
        <x:v>41932.7350655094</x:v>
      </x:c>
      <x:c r="F35" s="78" t="n">
        <x:f>IF(A35=$B$5,0,MAX(0,B35-E35))</x:f>
        <x:v>420441.2652298339</x:v>
      </x:c>
    </x:row>
    <x:row r="36">
      <x:c r="A36" s="74" t="n">
        <x:v>23</x:v>
      </x:c>
      <x:c r="B36" s="78" t="n">
        <x:f>F35</x:f>
        <x:v>420441.2652298339</x:v>
      </x:c>
      <x:c r="C36" s="78" t="n">
        <x:f>$B$7</x:f>
        <x:v>65051.43508027656</x:v>
      </x:c>
      <x:c r="D36" s="78" t="n">
        <x:f>B36*($B$4/100)</x:f>
        <x:v>21022.063261491698</x:v>
      </x:c>
      <x:c r="E36" s="78" t="n">
        <x:f>C36-D36</x:f>
        <x:v>44029.371818784864</x:v>
      </x:c>
      <x:c r="F36" s="78" t="n">
        <x:f>IF(A36=$B$5,0,MAX(0,B36-E36))</x:f>
        <x:v>376411.89341104904</x:v>
      </x:c>
    </x:row>
    <x:row r="37">
      <x:c r="A37" s="74" t="n">
        <x:v>24</x:v>
      </x:c>
      <x:c r="B37" s="78" t="n">
        <x:f>F36</x:f>
        <x:v>376411.89341104904</x:v>
      </x:c>
      <x:c r="C37" s="78" t="n">
        <x:f>$B$7</x:f>
        <x:v>65051.43508027656</x:v>
      </x:c>
      <x:c r="D37" s="78" t="n">
        <x:f>B37*($B$4/100)</x:f>
        <x:v>18820.59467055245</x:v>
      </x:c>
      <x:c r="E37" s="78" t="n">
        <x:f>C37-D37</x:f>
        <x:v>46230.840409724115</x:v>
      </x:c>
      <x:c r="F37" s="78" t="n">
        <x:f>IF(A37=$B$5,0,MAX(0,B37-E37))</x:f>
        <x:v>330181.05300132494</x:v>
      </x:c>
    </x:row>
    <x:row r="38">
      <x:c r="A38" s="74" t="n">
        <x:v>25</x:v>
      </x:c>
      <x:c r="B38" s="78" t="n">
        <x:f>F37</x:f>
        <x:v>330181.05300132494</x:v>
      </x:c>
      <x:c r="C38" s="78" t="n">
        <x:f>$B$7</x:f>
        <x:v>65051.43508027656</x:v>
      </x:c>
      <x:c r="D38" s="78" t="n">
        <x:f>B38*($B$4/100)</x:f>
        <x:v>16509.05265006625</x:v>
      </x:c>
      <x:c r="E38" s="78" t="n">
        <x:f>C38-D38</x:f>
        <x:v>48542.38243021032</x:v>
      </x:c>
      <x:c r="F38" s="78" t="n">
        <x:f>IF(A38=$B$5,0,MAX(0,B38-E38))</x:f>
        <x:v>281638.67057111464</x:v>
      </x:c>
    </x:row>
    <x:row r="39">
      <x:c r="A39" s="74" t="n">
        <x:v>26</x:v>
      </x:c>
      <x:c r="B39" s="78" t="n">
        <x:f>F38</x:f>
        <x:v>281638.67057111464</x:v>
      </x:c>
      <x:c r="C39" s="78" t="n">
        <x:f>$B$7</x:f>
        <x:v>65051.43508027656</x:v>
      </x:c>
      <x:c r="D39" s="78" t="n">
        <x:f>B39*($B$4/100)</x:f>
        <x:v>14081.933528555732</x:v>
      </x:c>
      <x:c r="E39" s="78" t="n">
        <x:f>C39-D39</x:f>
        <x:v>50969.50155172083</x:v>
      </x:c>
      <x:c r="F39" s="78" t="n">
        <x:f>IF(A39=$B$5,0,MAX(0,B39-E39))</x:f>
        <x:v>230669.1690193938</x:v>
      </x:c>
    </x:row>
    <x:row r="40">
      <x:c r="A40" s="74" t="n">
        <x:v>27</x:v>
      </x:c>
      <x:c r="B40" s="78" t="n">
        <x:f>F39</x:f>
        <x:v>230669.1690193938</x:v>
      </x:c>
      <x:c r="C40" s="78" t="n">
        <x:f>$B$7</x:f>
        <x:v>65051.43508027656</x:v>
      </x:c>
      <x:c r="D40" s="78" t="n">
        <x:f>B40*($B$4/100)</x:f>
        <x:v>11533.45845096969</x:v>
      </x:c>
      <x:c r="E40" s="78" t="n">
        <x:f>C40-D40</x:f>
        <x:v>53517.97662930687</x:v>
      </x:c>
      <x:c r="F40" s="78" t="n">
        <x:f>IF(A40=$B$5,0,MAX(0,B40-E40))</x:f>
        <x:v>177151.19239008694</x:v>
      </x:c>
    </x:row>
    <x:row r="41">
      <x:c r="A41" s="74" t="n">
        <x:v>28</x:v>
      </x:c>
      <x:c r="B41" s="78" t="n">
        <x:f>F40</x:f>
        <x:v>177151.19239008694</x:v>
      </x:c>
      <x:c r="C41" s="78" t="n">
        <x:f>$B$7</x:f>
        <x:v>65051.43508027656</x:v>
      </x:c>
      <x:c r="D41" s="78" t="n">
        <x:f>B41*($B$4/100)</x:f>
        <x:v>8857.559619504347</x:v>
      </x:c>
      <x:c r="E41" s="78" t="n">
        <x:f>C41-D41</x:f>
        <x:v>56193.875460772215</x:v>
      </x:c>
      <x:c r="F41" s="78" t="n">
        <x:f>IF(A41=$B$5,0,MAX(0,B41-E41))</x:f>
        <x:v>120957.31692931472</x:v>
      </x:c>
    </x:row>
    <x:row r="42">
      <x:c r="A42" s="74" t="n">
        <x:v>29</x:v>
      </x:c>
      <x:c r="B42" s="78" t="n">
        <x:f>F41</x:f>
        <x:v>120957.31692931472</x:v>
      </x:c>
      <x:c r="C42" s="78" t="n">
        <x:f>$B$7</x:f>
        <x:v>65051.43508027656</x:v>
      </x:c>
      <x:c r="D42" s="78" t="n">
        <x:f>B42*($B$4/100)</x:f>
        <x:v>6047.8658464657365</x:v>
      </x:c>
      <x:c r="E42" s="78" t="n">
        <x:f>C42-D42</x:f>
        <x:v>59003.56923381083</x:v>
      </x:c>
      <x:c r="F42" s="78" t="n">
        <x:f>IF(A42=$B$5,0,MAX(0,B42-E42))</x:f>
        <x:v>61953.747695503895</x:v>
      </x:c>
    </x:row>
    <x:row r="43">
      <x:c r="A43" s="75" t="n">
        <x:v>30</x:v>
      </x:c>
      <x:c r="B43" s="79" t="n">
        <x:f>F42</x:f>
        <x:v>61953.747695503895</x:v>
      </x:c>
      <x:c r="C43" s="79" t="n">
        <x:f>$B$7</x:f>
        <x:v>65051.43508027656</x:v>
      </x:c>
      <x:c r="D43" s="79" t="n">
        <x:f>B43*($B$4/100)</x:f>
        <x:v>3097.687384775195</x:v>
      </x:c>
      <x:c r="E43" s="79" t="n">
        <x:f>C43-D43</x:f>
        <x:v>61953.74769550137</x:v>
      </x:c>
      <x:c r="F43" s="79" t="n">
        <x:f>IF(A43=$B$5,0,MAX(0,B43-E43))</x:f>
        <x:v>0</x:v>
      </x:c>
    </x:row>
  </x:sheetData>
  <x:mergeCells>
    <x:mergeCell ref="A1:F1"/>
    <x:mergeCell ref="A11:F11"/>
  </x:mergeCells>
  <x:conditionalFormatting sqref="A14:F43">
    <x:cfRule type="expression" dxfId="4" priority="1">
      <x:formula>MOD($A14,2)=0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5" t="str">
        <x:v>Préstamo con amortización francesa — 36 meses</x:v>
      </x:c>
      <x:c r="B1" s="5"/>
      <x:c r="C1" s="5"/>
      <x:c r="D1" s="5"/>
      <x:c r="E1" s="5"/>
      <x:c r="F1" s="5"/>
    </x:row>
    <x:row r="3">
      <x:c r="A3" s="11" t="str">
        <x:v>Monto del préstamo ($)</x:v>
      </x:c>
      <x:c r="B3" s="44" t="n">
        <x:v>1000000</x:v>
      </x:c>
    </x:row>
    <x:row r="4">
      <x:c r="A4" s="11" t="str">
        <x:v>Tasa de interés mensual (%)</x:v>
      </x:c>
      <x:c r="B4" s="46" t="n">
        <x:v>5</x:v>
      </x:c>
    </x:row>
    <x:row r="5">
      <x:c r="A5" s="12" t="str">
        <x:v>Plazo (meses)</x:v>
      </x:c>
      <x:c r="B5" s="48" t="n">
        <x:v>36</x:v>
      </x:c>
    </x:row>
    <x:row r="7">
      <x:c r="A7" s="35" t="str">
        <x:v>Cuota mensual ($)</x:v>
      </x:c>
      <x:c r="B7" s="50" t="n">
        <x:f>IF(B4=0,B3/B5,B3*(B4/100)/(1-(1+B4/100)^(-B5)))</x:f>
        <x:v>60434.45712047527</x:v>
      </x:c>
    </x:row>
    <x:row r="8">
      <x:c r="A8" s="35" t="str">
        <x:v>Total pagado ($)</x:v>
      </x:c>
      <x:c r="B8" s="50" t="n">
        <x:f>B7*B5</x:f>
        <x:v>2175640.4563371097</x:v>
      </x:c>
    </x:row>
    <x:row r="9">
      <x:c r="A9" s="35" t="str">
        <x:v>Intereses totales ($)</x:v>
      </x:c>
      <x:c r="B9" s="50" t="n">
        <x:f>B8-B3</x:f>
        <x:v>1175640.4563371097</x:v>
      </x:c>
    </x:row>
    <x:row r="11" ht="30" customHeight="1">
      <x:c r="A11" s="53" t="str">
        <x:v>Editá solamente las celdas amarillas B3 y B4. La tasa ingresada debe ser mensual (por ejemplo, 5 = 5% mensual).</x:v>
      </x:c>
      <x:c r="B11" s="53"/>
      <x:c r="C11" s="53"/>
      <x:c r="D11" s="53"/>
      <x:c r="E11" s="53"/>
      <x:c r="F11" s="53"/>
    </x:row>
    <x:row r="13" ht="24" customHeight="1">
      <x:c r="A13" s="60" t="str">
        <x:v>Cuota N°</x:v>
      </x:c>
      <x:c r="B13" s="60" t="str">
        <x:v>Saldo inicial ($)</x:v>
      </x:c>
      <x:c r="C13" s="60" t="str">
        <x:v>Cuota ($)</x:v>
      </x:c>
      <x:c r="D13" s="60" t="str">
        <x:v>Interés ($)</x:v>
      </x:c>
      <x:c r="E13" s="60" t="str">
        <x:v>Amortización ($)</x:v>
      </x:c>
      <x:c r="F13" s="60" t="str">
        <x:v>Saldo final ($)</x:v>
      </x:c>
    </x:row>
    <x:row r="14">
      <x:c r="A14" s="74" t="n">
        <x:v>1</x:v>
      </x:c>
      <x:c r="B14" s="78" t="n">
        <x:f>$B$3</x:f>
        <x:v>1000000</x:v>
      </x:c>
      <x:c r="C14" s="78" t="n">
        <x:f>$B$7</x:f>
        <x:v>60434.45712047527</x:v>
      </x:c>
      <x:c r="D14" s="78" t="n">
        <x:f>B14*($B$4/100)</x:f>
        <x:v>50000</x:v>
      </x:c>
      <x:c r="E14" s="78" t="n">
        <x:f>C14-D14</x:f>
        <x:v>10434.457120475272</x:v>
      </x:c>
      <x:c r="F14" s="78" t="n">
        <x:f>IF(A14=$B$5,0,MAX(0,B14-E14))</x:f>
        <x:v>989565.5428795248</x:v>
      </x:c>
    </x:row>
    <x:row r="15">
      <x:c r="A15" s="74" t="n">
        <x:v>2</x:v>
      </x:c>
      <x:c r="B15" s="78" t="n">
        <x:f>F14</x:f>
        <x:v>989565.5428795248</x:v>
      </x:c>
      <x:c r="C15" s="78" t="n">
        <x:f>$B$7</x:f>
        <x:v>60434.45712047527</x:v>
      </x:c>
      <x:c r="D15" s="78" t="n">
        <x:f>B15*($B$4/100)</x:f>
        <x:v>49478.277143976244</x:v>
      </x:c>
      <x:c r="E15" s="78" t="n">
        <x:f>C15-D15</x:f>
        <x:v>10956.179976499028</x:v>
      </x:c>
      <x:c r="F15" s="78" t="n">
        <x:f>IF(A15=$B$5,0,MAX(0,B15-E15))</x:f>
        <x:v>978609.3629030257</x:v>
      </x:c>
    </x:row>
    <x:row r="16">
      <x:c r="A16" s="74" t="n">
        <x:v>3</x:v>
      </x:c>
      <x:c r="B16" s="78" t="n">
        <x:f>F15</x:f>
        <x:v>978609.3629030257</x:v>
      </x:c>
      <x:c r="C16" s="78" t="n">
        <x:f>$B$7</x:f>
        <x:v>60434.45712047527</x:v>
      </x:c>
      <x:c r="D16" s="78" t="n">
        <x:f>B16*($B$4/100)</x:f>
        <x:v>48930.46814515129</x:v>
      </x:c>
      <x:c r="E16" s="78" t="n">
        <x:f>C16-D16</x:f>
        <x:v>11503.988975323984</x:v>
      </x:c>
      <x:c r="F16" s="78" t="n">
        <x:f>IF(A16=$B$5,0,MAX(0,B16-E16))</x:f>
        <x:v>967105.3739277017</x:v>
      </x:c>
    </x:row>
    <x:row r="17">
      <x:c r="A17" s="74" t="n">
        <x:v>4</x:v>
      </x:c>
      <x:c r="B17" s="78" t="n">
        <x:f>F16</x:f>
        <x:v>967105.3739277017</x:v>
      </x:c>
      <x:c r="C17" s="78" t="n">
        <x:f>$B$7</x:f>
        <x:v>60434.45712047527</x:v>
      </x:c>
      <x:c r="D17" s="78" t="n">
        <x:f>B17*($B$4/100)</x:f>
        <x:v>48355.26869638509</x:v>
      </x:c>
      <x:c r="E17" s="78" t="n">
        <x:f>C17-D17</x:f>
        <x:v>12079.188424090185</x:v>
      </x:c>
      <x:c r="F17" s="78" t="n">
        <x:f>IF(A17=$B$5,0,MAX(0,B17-E17))</x:f>
        <x:v>955026.1855036116</x:v>
      </x:c>
    </x:row>
    <x:row r="18">
      <x:c r="A18" s="74" t="n">
        <x:v>5</x:v>
      </x:c>
      <x:c r="B18" s="78" t="n">
        <x:f>F17</x:f>
        <x:v>955026.1855036116</x:v>
      </x:c>
      <x:c r="C18" s="78" t="n">
        <x:f>$B$7</x:f>
        <x:v>60434.45712047527</x:v>
      </x:c>
      <x:c r="D18" s="78" t="n">
        <x:f>B18*($B$4/100)</x:f>
        <x:v>47751.30927518058</x:v>
      </x:c>
      <x:c r="E18" s="78" t="n">
        <x:f>C18-D18</x:f>
        <x:v>12683.14784529469</x:v>
      </x:c>
      <x:c r="F18" s="78" t="n">
        <x:f>IF(A18=$B$5,0,MAX(0,B18-E18))</x:f>
        <x:v>942343.0376583169</x:v>
      </x:c>
    </x:row>
    <x:row r="19">
      <x:c r="A19" s="74" t="n">
        <x:v>6</x:v>
      </x:c>
      <x:c r="B19" s="78" t="n">
        <x:f>F18</x:f>
        <x:v>942343.0376583169</x:v>
      </x:c>
      <x:c r="C19" s="78" t="n">
        <x:f>$B$7</x:f>
        <x:v>60434.45712047527</x:v>
      </x:c>
      <x:c r="D19" s="78" t="n">
        <x:f>B19*($B$4/100)</x:f>
        <x:v>47117.151882915845</x:v>
      </x:c>
      <x:c r="E19" s="78" t="n">
        <x:f>C19-D19</x:f>
        <x:v>13317.305237559427</x:v>
      </x:c>
      <x:c r="F19" s="78" t="n">
        <x:f>IF(A19=$B$5,0,MAX(0,B19-E19))</x:f>
        <x:v>929025.7324207574</x:v>
      </x:c>
    </x:row>
    <x:row r="20">
      <x:c r="A20" s="74" t="n">
        <x:v>7</x:v>
      </x:c>
      <x:c r="B20" s="78" t="n">
        <x:f>F19</x:f>
        <x:v>929025.7324207574</x:v>
      </x:c>
      <x:c r="C20" s="78" t="n">
        <x:f>$B$7</x:f>
        <x:v>60434.45712047527</x:v>
      </x:c>
      <x:c r="D20" s="78" t="n">
        <x:f>B20*($B$4/100)</x:f>
        <x:v>46451.28662103787</x:v>
      </x:c>
      <x:c r="E20" s="78" t="n">
        <x:f>C20-D20</x:f>
        <x:v>13983.170499437401</x:v>
      </x:c>
      <x:c r="F20" s="78" t="n">
        <x:f>IF(A20=$B$5,0,MAX(0,B20-E20))</x:f>
        <x:v>915042.56192132</x:v>
      </x:c>
    </x:row>
    <x:row r="21">
      <x:c r="A21" s="74" t="n">
        <x:v>8</x:v>
      </x:c>
      <x:c r="B21" s="78" t="n">
        <x:f>F20</x:f>
        <x:v>915042.56192132</x:v>
      </x:c>
      <x:c r="C21" s="78" t="n">
        <x:f>$B$7</x:f>
        <x:v>60434.45712047527</x:v>
      </x:c>
      <x:c r="D21" s="78" t="n">
        <x:f>B21*($B$4/100)</x:f>
        <x:v>45752.12809606601</x:v>
      </x:c>
      <x:c r="E21" s="78" t="n">
        <x:f>C21-D21</x:f>
        <x:v>14682.329024409264</x:v>
      </x:c>
      <x:c r="F21" s="78" t="n">
        <x:f>IF(A21=$B$5,0,MAX(0,B21-E21))</x:f>
        <x:v>900360.2328969107</x:v>
      </x:c>
    </x:row>
    <x:row r="22">
      <x:c r="A22" s="74" t="n">
        <x:v>9</x:v>
      </x:c>
      <x:c r="B22" s="78" t="n">
        <x:f>F21</x:f>
        <x:v>900360.2328969107</x:v>
      </x:c>
      <x:c r="C22" s="78" t="n">
        <x:f>$B$7</x:f>
        <x:v>60434.45712047527</x:v>
      </x:c>
      <x:c r="D22" s="78" t="n">
        <x:f>B22*($B$4/100)</x:f>
        <x:v>45018.01164484554</x:v>
      </x:c>
      <x:c r="E22" s="78" t="n">
        <x:f>C22-D22</x:f>
        <x:v>15416.445475629735</x:v>
      </x:c>
      <x:c r="F22" s="78" t="n">
        <x:f>IF(A22=$B$5,0,MAX(0,B22-E22))</x:f>
        <x:v>884943.787421281</x:v>
      </x:c>
    </x:row>
    <x:row r="23">
      <x:c r="A23" s="74" t="n">
        <x:v>10</x:v>
      </x:c>
      <x:c r="B23" s="78" t="n">
        <x:f>F22</x:f>
        <x:v>884943.787421281</x:v>
      </x:c>
      <x:c r="C23" s="78" t="n">
        <x:f>$B$7</x:f>
        <x:v>60434.45712047527</x:v>
      </x:c>
      <x:c r="D23" s="78" t="n">
        <x:f>B23*($B$4/100)</x:f>
        <x:v>44247.18937106405</x:v>
      </x:c>
      <x:c r="E23" s="78" t="n">
        <x:f>C23-D23</x:f>
        <x:v>16187.267749411221</x:v>
      </x:c>
      <x:c r="F23" s="78" t="n">
        <x:f>IF(A23=$B$5,0,MAX(0,B23-E23))</x:f>
        <x:v>868756.5196718698</x:v>
      </x:c>
    </x:row>
    <x:row r="24">
      <x:c r="A24" s="74" t="n">
        <x:v>11</x:v>
      </x:c>
      <x:c r="B24" s="78" t="n">
        <x:f>F23</x:f>
        <x:v>868756.5196718698</x:v>
      </x:c>
      <x:c r="C24" s="78" t="n">
        <x:f>$B$7</x:f>
        <x:v>60434.45712047527</x:v>
      </x:c>
      <x:c r="D24" s="78" t="n">
        <x:f>B24*($B$4/100)</x:f>
        <x:v>43437.825983593495</x:v>
      </x:c>
      <x:c r="E24" s="78" t="n">
        <x:f>C24-D24</x:f>
        <x:v>16996.631136881777</x:v>
      </x:c>
      <x:c r="F24" s="78" t="n">
        <x:f>IF(A24=$B$5,0,MAX(0,B24-E24))</x:f>
        <x:v>851759.888534988</x:v>
      </x:c>
    </x:row>
    <x:row r="25">
      <x:c r="A25" s="74" t="n">
        <x:v>12</x:v>
      </x:c>
      <x:c r="B25" s="78" t="n">
        <x:f>F24</x:f>
        <x:v>851759.888534988</x:v>
      </x:c>
      <x:c r="C25" s="78" t="n">
        <x:f>$B$7</x:f>
        <x:v>60434.45712047527</x:v>
      </x:c>
      <x:c r="D25" s="78" t="n">
        <x:f>B25*($B$4/100)</x:f>
        <x:v>42587.99442674941</x:v>
      </x:c>
      <x:c r="E25" s="78" t="n">
        <x:f>C25-D25</x:f>
        <x:v>17846.462693725865</x:v>
      </x:c>
      <x:c r="F25" s="78" t="n">
        <x:f>IF(A25=$B$5,0,MAX(0,B25-E25))</x:f>
        <x:v>833913.4258412622</x:v>
      </x:c>
    </x:row>
    <x:row r="26">
      <x:c r="A26" s="74" t="n">
        <x:v>13</x:v>
      </x:c>
      <x:c r="B26" s="78" t="n">
        <x:f>F25</x:f>
        <x:v>833913.4258412622</x:v>
      </x:c>
      <x:c r="C26" s="78" t="n">
        <x:f>$B$7</x:f>
        <x:v>60434.45712047527</x:v>
      </x:c>
      <x:c r="D26" s="78" t="n">
        <x:f>B26*($B$4/100)</x:f>
        <x:v>41695.67129206311</x:v>
      </x:c>
      <x:c r="E26" s="78" t="n">
        <x:f>C26-D26</x:f>
        <x:v>18738.78582841216</x:v>
      </x:c>
      <x:c r="F26" s="78" t="n">
        <x:f>IF(A26=$B$5,0,MAX(0,B26-E26))</x:f>
        <x:v>815174.64001285</x:v>
      </x:c>
    </x:row>
    <x:row r="27">
      <x:c r="A27" s="74" t="n">
        <x:v>14</x:v>
      </x:c>
      <x:c r="B27" s="78" t="n">
        <x:f>F26</x:f>
        <x:v>815174.64001285</x:v>
      </x:c>
      <x:c r="C27" s="78" t="n">
        <x:f>$B$7</x:f>
        <x:v>60434.45712047527</x:v>
      </x:c>
      <x:c r="D27" s="78" t="n">
        <x:f>B27*($B$4/100)</x:f>
        <x:v>40758.73200064251</x:v>
      </x:c>
      <x:c r="E27" s="78" t="n">
        <x:f>C27-D27</x:f>
        <x:v>19675.725119832765</x:v>
      </x:c>
      <x:c r="F27" s="78" t="n">
        <x:f>IF(A27=$B$5,0,MAX(0,B27-E27))</x:f>
        <x:v>795498.9148930173</x:v>
      </x:c>
    </x:row>
    <x:row r="28">
      <x:c r="A28" s="74" t="n">
        <x:v>15</x:v>
      </x:c>
      <x:c r="B28" s="78" t="n">
        <x:f>F27</x:f>
        <x:v>795498.9148930173</x:v>
      </x:c>
      <x:c r="C28" s="78" t="n">
        <x:f>$B$7</x:f>
        <x:v>60434.45712047527</x:v>
      </x:c>
      <x:c r="D28" s="78" t="n">
        <x:f>B28*($B$4/100)</x:f>
        <x:v>39774.94574465087</x:v>
      </x:c>
      <x:c r="E28" s="78" t="n">
        <x:f>C28-D28</x:f>
        <x:v>20659.511375824404</x:v>
      </x:c>
      <x:c r="F28" s="78" t="n">
        <x:f>IF(A28=$B$5,0,MAX(0,B28-E28))</x:f>
        <x:v>774839.4035171928</x:v>
      </x:c>
    </x:row>
    <x:row r="29">
      <x:c r="A29" s="74" t="n">
        <x:v>16</x:v>
      </x:c>
      <x:c r="B29" s="78" t="n">
        <x:f>F28</x:f>
        <x:v>774839.4035171928</x:v>
      </x:c>
      <x:c r="C29" s="78" t="n">
        <x:f>$B$7</x:f>
        <x:v>60434.45712047527</x:v>
      </x:c>
      <x:c r="D29" s="78" t="n">
        <x:f>B29*($B$4/100)</x:f>
        <x:v>38741.97017585964</x:v>
      </x:c>
      <x:c r="E29" s="78" t="n">
        <x:f>C29-D29</x:f>
        <x:v>21692.48694461563</x:v>
      </x:c>
      <x:c r="F29" s="78" t="n">
        <x:f>IF(A29=$B$5,0,MAX(0,B29-E29))</x:f>
        <x:v>753146.9165725772</x:v>
      </x:c>
    </x:row>
    <x:row r="30">
      <x:c r="A30" s="74" t="n">
        <x:v>17</x:v>
      </x:c>
      <x:c r="B30" s="78" t="n">
        <x:f>F29</x:f>
        <x:v>753146.9165725772</x:v>
      </x:c>
      <x:c r="C30" s="78" t="n">
        <x:f>$B$7</x:f>
        <x:v>60434.45712047527</x:v>
      </x:c>
      <x:c r="D30" s="78" t="n">
        <x:f>B30*($B$4/100)</x:f>
        <x:v>37657.34582862886</x:v>
      </x:c>
      <x:c r="E30" s="78" t="n">
        <x:f>C30-D30</x:f>
        <x:v>22777.111291846413</x:v>
      </x:c>
      <x:c r="F30" s="78" t="n">
        <x:f>IF(A30=$B$5,0,MAX(0,B30-E30))</x:f>
        <x:v>730369.8052807308</x:v>
      </x:c>
    </x:row>
    <x:row r="31">
      <x:c r="A31" s="74" t="n">
        <x:v>18</x:v>
      </x:c>
      <x:c r="B31" s="78" t="n">
        <x:f>F30</x:f>
        <x:v>730369.8052807308</x:v>
      </x:c>
      <x:c r="C31" s="78" t="n">
        <x:f>$B$7</x:f>
        <x:v>60434.45712047527</x:v>
      </x:c>
      <x:c r="D31" s="78" t="n">
        <x:f>B31*($B$4/100)</x:f>
        <x:v>36518.49026403654</x:v>
      </x:c>
      <x:c r="E31" s="78" t="n">
        <x:f>C31-D31</x:f>
        <x:v>23915.966856438732</x:v>
      </x:c>
      <x:c r="F31" s="78" t="n">
        <x:f>IF(A31=$B$5,0,MAX(0,B31-E31))</x:f>
        <x:v>706453.838424292</x:v>
      </x:c>
    </x:row>
    <x:row r="32">
      <x:c r="A32" s="74" t="n">
        <x:v>19</x:v>
      </x:c>
      <x:c r="B32" s="78" t="n">
        <x:f>F31</x:f>
        <x:v>706453.838424292</x:v>
      </x:c>
      <x:c r="C32" s="78" t="n">
        <x:f>$B$7</x:f>
        <x:v>60434.45712047527</x:v>
      </x:c>
      <x:c r="D32" s="78" t="n">
        <x:f>B32*($B$4/100)</x:f>
        <x:v>35322.6919212146</x:v>
      </x:c>
      <x:c r="E32" s="78" t="n">
        <x:f>C32-D32</x:f>
        <x:v>25111.76519926067</x:v>
      </x:c>
      <x:c r="F32" s="78" t="n">
        <x:f>IF(A32=$B$5,0,MAX(0,B32-E32))</x:f>
        <x:v>681342.0732250314</x:v>
      </x:c>
    </x:row>
    <x:row r="33">
      <x:c r="A33" s="74" t="n">
        <x:v>20</x:v>
      </x:c>
      <x:c r="B33" s="78" t="n">
        <x:f>F32</x:f>
        <x:v>681342.0732250314</x:v>
      </x:c>
      <x:c r="C33" s="78" t="n">
        <x:f>$B$7</x:f>
        <x:v>60434.45712047527</x:v>
      </x:c>
      <x:c r="D33" s="78" t="n">
        <x:f>B33*($B$4/100)</x:f>
        <x:v>34067.10366125157</x:v>
      </x:c>
      <x:c r="E33" s="78" t="n">
        <x:f>C33-D33</x:f>
        <x:v>26367.353459223705</x:v>
      </x:c>
      <x:c r="F33" s="78" t="n">
        <x:f>IF(A33=$B$5,0,MAX(0,B33-E33))</x:f>
        <x:v>654974.7197658076</x:v>
      </x:c>
    </x:row>
    <x:row r="34">
      <x:c r="A34" s="74" t="n">
        <x:v>21</x:v>
      </x:c>
      <x:c r="B34" s="78" t="n">
        <x:f>F33</x:f>
        <x:v>654974.7197658076</x:v>
      </x:c>
      <x:c r="C34" s="78" t="n">
        <x:f>$B$7</x:f>
        <x:v>60434.45712047527</x:v>
      </x:c>
      <x:c r="D34" s="78" t="n">
        <x:f>B34*($B$4/100)</x:f>
        <x:v>32748.735988290384</x:v>
      </x:c>
      <x:c r="E34" s="78" t="n">
        <x:f>C34-D34</x:f>
        <x:v>27685.721132184888</x:v>
      </x:c>
      <x:c r="F34" s="78" t="n">
        <x:f>IF(A34=$B$5,0,MAX(0,B34-E34))</x:f>
        <x:v>627288.9986336228</x:v>
      </x:c>
    </x:row>
    <x:row r="35">
      <x:c r="A35" s="74" t="n">
        <x:v>22</x:v>
      </x:c>
      <x:c r="B35" s="78" t="n">
        <x:f>F34</x:f>
        <x:v>627288.9986336228</x:v>
      </x:c>
      <x:c r="C35" s="78" t="n">
        <x:f>$B$7</x:f>
        <x:v>60434.45712047527</x:v>
      </x:c>
      <x:c r="D35" s="78" t="n">
        <x:f>B35*($B$4/100)</x:f>
        <x:v>31364.44993168114</x:v>
      </x:c>
      <x:c r="E35" s="78" t="n">
        <x:f>C35-D35</x:f>
        <x:v>29070.00718879413</x:v>
      </x:c>
      <x:c r="F35" s="78" t="n">
        <x:f>IF(A35=$B$5,0,MAX(0,B35-E35))</x:f>
        <x:v>598218.9914448287</x:v>
      </x:c>
    </x:row>
    <x:row r="36">
      <x:c r="A36" s="74" t="n">
        <x:v>23</x:v>
      </x:c>
      <x:c r="B36" s="78" t="n">
        <x:f>F35</x:f>
        <x:v>598218.9914448287</x:v>
      </x:c>
      <x:c r="C36" s="78" t="n">
        <x:f>$B$7</x:f>
        <x:v>60434.45712047527</x:v>
      </x:c>
      <x:c r="D36" s="78" t="n">
        <x:f>B36*($B$4/100)</x:f>
        <x:v>29910.949572241436</x:v>
      </x:c>
      <x:c r="E36" s="78" t="n">
        <x:f>C36-D36</x:f>
        <x:v>30523.507548233836</x:v>
      </x:c>
      <x:c r="F36" s="78" t="n">
        <x:f>IF(A36=$B$5,0,MAX(0,B36-E36))</x:f>
        <x:v>567695.4838965948</x:v>
      </x:c>
    </x:row>
    <x:row r="37">
      <x:c r="A37" s="74" t="n">
        <x:v>24</x:v>
      </x:c>
      <x:c r="B37" s="78" t="n">
        <x:f>F36</x:f>
        <x:v>567695.4838965948</x:v>
      </x:c>
      <x:c r="C37" s="78" t="n">
        <x:f>$B$7</x:f>
        <x:v>60434.45712047527</x:v>
      </x:c>
      <x:c r="D37" s="78" t="n">
        <x:f>B37*($B$4/100)</x:f>
        <x:v>28384.774194829744</x:v>
      </x:c>
      <x:c r="E37" s="78" t="n">
        <x:f>C37-D37</x:f>
        <x:v>32049.682925645528</x:v>
      </x:c>
      <x:c r="F37" s="78" t="n">
        <x:f>IF(A37=$B$5,0,MAX(0,B37-E37))</x:f>
        <x:v>535645.8009709493</x:v>
      </x:c>
    </x:row>
    <x:row r="38">
      <x:c r="A38" s="74" t="n">
        <x:v>25</x:v>
      </x:c>
      <x:c r="B38" s="78" t="n">
        <x:f>F37</x:f>
        <x:v>535645.8009709493</x:v>
      </x:c>
      <x:c r="C38" s="78" t="n">
        <x:f>$B$7</x:f>
        <x:v>60434.45712047527</x:v>
      </x:c>
      <x:c r="D38" s="78" t="n">
        <x:f>B38*($B$4/100)</x:f>
        <x:v>26782.290048547467</x:v>
      </x:c>
      <x:c r="E38" s="78" t="n">
        <x:f>C38-D38</x:f>
        <x:v>33652.167071927804</x:v>
      </x:c>
      <x:c r="F38" s="78" t="n">
        <x:f>IF(A38=$B$5,0,MAX(0,B38-E38))</x:f>
        <x:v>501993.63389902154</x:v>
      </x:c>
    </x:row>
    <x:row r="39">
      <x:c r="A39" s="74" t="n">
        <x:v>26</x:v>
      </x:c>
      <x:c r="B39" s="78" t="n">
        <x:f>F38</x:f>
        <x:v>501993.63389902154</x:v>
      </x:c>
      <x:c r="C39" s="78" t="n">
        <x:f>$B$7</x:f>
        <x:v>60434.45712047527</x:v>
      </x:c>
      <x:c r="D39" s="78" t="n">
        <x:f>B39*($B$4/100)</x:f>
        <x:v>25099.68169495108</x:v>
      </x:c>
      <x:c r="E39" s="78" t="n">
        <x:f>C39-D39</x:f>
        <x:v>35334.77542552419</x:v>
      </x:c>
      <x:c r="F39" s="78" t="n">
        <x:f>IF(A39=$B$5,0,MAX(0,B39-E39))</x:f>
        <x:v>466658.8584734973</x:v>
      </x:c>
    </x:row>
    <x:row r="40">
      <x:c r="A40" s="74" t="n">
        <x:v>27</x:v>
      </x:c>
      <x:c r="B40" s="78" t="n">
        <x:f>F39</x:f>
        <x:v>466658.8584734973</x:v>
      </x:c>
      <x:c r="C40" s="78" t="n">
        <x:f>$B$7</x:f>
        <x:v>60434.45712047527</x:v>
      </x:c>
      <x:c r="D40" s="78" t="n">
        <x:f>B40*($B$4/100)</x:f>
        <x:v>23332.94292367487</x:v>
      </x:c>
      <x:c r="E40" s="78" t="n">
        <x:f>C40-D40</x:f>
        <x:v>37101.5141968004</x:v>
      </x:c>
      <x:c r="F40" s="78" t="n">
        <x:f>IF(A40=$B$5,0,MAX(0,B40-E40))</x:f>
        <x:v>429557.3442766969</x:v>
      </x:c>
    </x:row>
    <x:row r="41">
      <x:c r="A41" s="74" t="n">
        <x:v>28</x:v>
      </x:c>
      <x:c r="B41" s="78" t="n">
        <x:f>F40</x:f>
        <x:v>429557.3442766969</x:v>
      </x:c>
      <x:c r="C41" s="78" t="n">
        <x:f>$B$7</x:f>
        <x:v>60434.45712047527</x:v>
      </x:c>
      <x:c r="D41" s="78" t="n">
        <x:f>B41*($B$4/100)</x:f>
        <x:v>21477.86721383485</x:v>
      </x:c>
      <x:c r="E41" s="78" t="n">
        <x:f>C41-D41</x:f>
        <x:v>38956.58990664042</x:v>
      </x:c>
      <x:c r="F41" s="78" t="n">
        <x:f>IF(A41=$B$5,0,MAX(0,B41-E41))</x:f>
        <x:v>390600.7543700565</x:v>
      </x:c>
    </x:row>
    <x:row r="42">
      <x:c r="A42" s="74" t="n">
        <x:v>29</x:v>
      </x:c>
      <x:c r="B42" s="78" t="n">
        <x:f>F41</x:f>
        <x:v>390600.7543700565</x:v>
      </x:c>
      <x:c r="C42" s="78" t="n">
        <x:f>$B$7</x:f>
        <x:v>60434.45712047527</x:v>
      </x:c>
      <x:c r="D42" s="78" t="n">
        <x:f>B42*($B$4/100)</x:f>
        <x:v>19530.037718502826</x:v>
      </x:c>
      <x:c r="E42" s="78" t="n">
        <x:f>C42-D42</x:f>
        <x:v>40904.419401972445</x:v>
      </x:c>
      <x:c r="F42" s="78" t="n">
        <x:f>IF(A42=$B$5,0,MAX(0,B42-E42))</x:f>
        <x:v>349696.33496808406</x:v>
      </x:c>
    </x:row>
    <x:row r="43">
      <x:c r="A43" s="74" t="n">
        <x:v>30</x:v>
      </x:c>
      <x:c r="B43" s="78" t="n">
        <x:f>F42</x:f>
        <x:v>349696.33496808406</x:v>
      </x:c>
      <x:c r="C43" s="78" t="n">
        <x:f>$B$7</x:f>
        <x:v>60434.45712047527</x:v>
      </x:c>
      <x:c r="D43" s="78" t="n">
        <x:f>B43*($B$4/100)</x:f>
        <x:v>17484.816748404202</x:v>
      </x:c>
      <x:c r="E43" s="78" t="n">
        <x:f>C43-D43</x:f>
        <x:v>42949.640372071066</x:v>
      </x:c>
      <x:c r="F43" s="78" t="n">
        <x:f>IF(A43=$B$5,0,MAX(0,B43-E43))</x:f>
        <x:v>306746.694596013</x:v>
      </x:c>
    </x:row>
    <x:row r="44">
      <x:c r="A44" s="74" t="n">
        <x:v>31</x:v>
      </x:c>
      <x:c r="B44" s="78" t="n">
        <x:f>F43</x:f>
        <x:v>306746.694596013</x:v>
      </x:c>
      <x:c r="C44" s="78" t="n">
        <x:f>$B$7</x:f>
        <x:v>60434.45712047527</x:v>
      </x:c>
      <x:c r="D44" s="78" t="n">
        <x:f>B44*($B$4/100)</x:f>
        <x:v>15337.33472980065</x:v>
      </x:c>
      <x:c r="E44" s="78" t="n">
        <x:f>C44-D44</x:f>
        <x:v>45097.12239067462</x:v>
      </x:c>
      <x:c r="F44" s="78" t="n">
        <x:f>IF(A44=$B$5,0,MAX(0,B44-E44))</x:f>
        <x:v>261649.57220533837</x:v>
      </x:c>
    </x:row>
    <x:row r="45">
      <x:c r="A45" s="74" t="n">
        <x:v>32</x:v>
      </x:c>
      <x:c r="B45" s="78" t="n">
        <x:f>F44</x:f>
        <x:v>261649.57220533837</x:v>
      </x:c>
      <x:c r="C45" s="78" t="n">
        <x:f>$B$7</x:f>
        <x:v>60434.45712047527</x:v>
      </x:c>
      <x:c r="D45" s="78" t="n">
        <x:f>B45*($B$4/100)</x:f>
        <x:v>13082.478610266919</x:v>
      </x:c>
      <x:c r="E45" s="78" t="n">
        <x:f>C45-D45</x:f>
        <x:v>47351.978510208355</x:v>
      </x:c>
      <x:c r="F45" s="78" t="n">
        <x:f>IF(A45=$B$5,0,MAX(0,B45-E45))</x:f>
        <x:v>214297.59369513002</x:v>
      </x:c>
    </x:row>
    <x:row r="46">
      <x:c r="A46" s="74" t="n">
        <x:v>33</x:v>
      </x:c>
      <x:c r="B46" s="78" t="n">
        <x:f>F45</x:f>
        <x:v>214297.59369513002</x:v>
      </x:c>
      <x:c r="C46" s="78" t="n">
        <x:f>$B$7</x:f>
        <x:v>60434.45712047527</x:v>
      </x:c>
      <x:c r="D46" s="78" t="n">
        <x:f>B46*($B$4/100)</x:f>
        <x:v>10714.879684756503</x:v>
      </x:c>
      <x:c r="E46" s="78" t="n">
        <x:f>C46-D46</x:f>
        <x:v>49719.57743571877</x:v>
      </x:c>
      <x:c r="F46" s="78" t="n">
        <x:f>IF(A46=$B$5,0,MAX(0,B46-E46))</x:f>
        <x:v>164578.01625941126</x:v>
      </x:c>
    </x:row>
    <x:row r="47">
      <x:c r="A47" s="74" t="n">
        <x:v>34</x:v>
      </x:c>
      <x:c r="B47" s="78" t="n">
        <x:f>F46</x:f>
        <x:v>164578.01625941126</x:v>
      </x:c>
      <x:c r="C47" s="78" t="n">
        <x:f>$B$7</x:f>
        <x:v>60434.45712047527</x:v>
      </x:c>
      <x:c r="D47" s="78" t="n">
        <x:f>B47*($B$4/100)</x:f>
        <x:v>8228.900812970563</x:v>
      </x:c>
      <x:c r="E47" s="78" t="n">
        <x:f>C47-D47</x:f>
        <x:v>52205.55630750471</x:v>
      </x:c>
      <x:c r="F47" s="78" t="n">
        <x:f>IF(A47=$B$5,0,MAX(0,B47-E47))</x:f>
        <x:v>112372.45995190655</x:v>
      </x:c>
    </x:row>
    <x:row r="48">
      <x:c r="A48" s="74" t="n">
        <x:v>35</x:v>
      </x:c>
      <x:c r="B48" s="78" t="n">
        <x:f>F47</x:f>
        <x:v>112372.45995190655</x:v>
      </x:c>
      <x:c r="C48" s="78" t="n">
        <x:f>$B$7</x:f>
        <x:v>60434.45712047527</x:v>
      </x:c>
      <x:c r="D48" s="78" t="n">
        <x:f>B48*($B$4/100)</x:f>
        <x:v>5618.622997595328</x:v>
      </x:c>
      <x:c r="E48" s="78" t="n">
        <x:f>C48-D48</x:f>
        <x:v>54815.83412287994</x:v>
      </x:c>
      <x:c r="F48" s="78" t="n">
        <x:f>IF(A48=$B$5,0,MAX(0,B48-E48))</x:f>
        <x:v>57556.62582902661</x:v>
      </x:c>
    </x:row>
    <x:row r="49">
      <x:c r="A49" s="75" t="n">
        <x:v>36</x:v>
      </x:c>
      <x:c r="B49" s="79" t="n">
        <x:f>F48</x:f>
        <x:v>57556.62582902661</x:v>
      </x:c>
      <x:c r="C49" s="79" t="n">
        <x:f>$B$7</x:f>
        <x:v>60434.45712047527</x:v>
      </x:c>
      <x:c r="D49" s="79" t="n">
        <x:f>B49*($B$4/100)</x:f>
        <x:v>2877.831291451331</x:v>
      </x:c>
      <x:c r="E49" s="79" t="n">
        <x:f>C49-D49</x:f>
        <x:v>57556.62582902394</x:v>
      </x:c>
      <x:c r="F49" s="79" t="n">
        <x:f>IF(A49=$B$5,0,MAX(0,B49-E49))</x:f>
        <x:v>0</x:v>
      </x:c>
    </x:row>
  </x:sheetData>
  <x:mergeCells>
    <x:mergeCell ref="A1:F1"/>
    <x:mergeCell ref="A11:F11"/>
  </x:mergeCells>
  <x:conditionalFormatting sqref="A14:F49">
    <x:cfRule type="expression" dxfId="5" priority="1">
      <x:formula>MOD($A14,2)=0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5" t="str">
        <x:v>Préstamo con amortización francesa — 42 meses</x:v>
      </x:c>
      <x:c r="B1" s="5"/>
      <x:c r="C1" s="5"/>
      <x:c r="D1" s="5"/>
      <x:c r="E1" s="5"/>
      <x:c r="F1" s="5"/>
    </x:row>
    <x:row r="3">
      <x:c r="A3" s="11" t="str">
        <x:v>Monto del préstamo ($)</x:v>
      </x:c>
      <x:c r="B3" s="44" t="n">
        <x:v>1000000</x:v>
      </x:c>
    </x:row>
    <x:row r="4">
      <x:c r="A4" s="11" t="str">
        <x:v>Tasa de interés mensual (%)</x:v>
      </x:c>
      <x:c r="B4" s="46" t="n">
        <x:v>5</x:v>
      </x:c>
    </x:row>
    <x:row r="5">
      <x:c r="A5" s="12" t="str">
        <x:v>Plazo (meses)</x:v>
      </x:c>
      <x:c r="B5" s="48" t="n">
        <x:v>42</x:v>
      </x:c>
    </x:row>
    <x:row r="7">
      <x:c r="A7" s="35" t="str">
        <x:v>Cuota mensual ($)</x:v>
      </x:c>
      <x:c r="B7" s="50" t="n">
        <x:f>IF(B4=0,B3/B5,B3*(B4/100)/(1-(1+B4/100)^(-B5)))</x:f>
        <x:v>57394.71308955513</x:v>
      </x:c>
    </x:row>
    <x:row r="8">
      <x:c r="A8" s="35" t="str">
        <x:v>Total pagado ($)</x:v>
      </x:c>
      <x:c r="B8" s="50" t="n">
        <x:f>B7*B5</x:f>
        <x:v>2410577.9497613157</x:v>
      </x:c>
    </x:row>
    <x:row r="9">
      <x:c r="A9" s="35" t="str">
        <x:v>Intereses totales ($)</x:v>
      </x:c>
      <x:c r="B9" s="50" t="n">
        <x:f>B8-B3</x:f>
        <x:v>1410577.9497613157</x:v>
      </x:c>
    </x:row>
    <x:row r="11" ht="30" customHeight="1">
      <x:c r="A11" s="53" t="str">
        <x:v>Editá solamente las celdas amarillas B3 y B4. La tasa ingresada debe ser mensual (por ejemplo, 5 = 5% mensual).</x:v>
      </x:c>
      <x:c r="B11" s="53"/>
      <x:c r="C11" s="53"/>
      <x:c r="D11" s="53"/>
      <x:c r="E11" s="53"/>
      <x:c r="F11" s="53"/>
    </x:row>
    <x:row r="13" ht="24" customHeight="1">
      <x:c r="A13" s="60" t="str">
        <x:v>Cuota N°</x:v>
      </x:c>
      <x:c r="B13" s="60" t="str">
        <x:v>Saldo inicial ($)</x:v>
      </x:c>
      <x:c r="C13" s="60" t="str">
        <x:v>Cuota ($)</x:v>
      </x:c>
      <x:c r="D13" s="60" t="str">
        <x:v>Interés ($)</x:v>
      </x:c>
      <x:c r="E13" s="60" t="str">
        <x:v>Amortización ($)</x:v>
      </x:c>
      <x:c r="F13" s="60" t="str">
        <x:v>Saldo final ($)</x:v>
      </x:c>
    </x:row>
    <x:row r="14">
      <x:c r="A14" s="74" t="n">
        <x:v>1</x:v>
      </x:c>
      <x:c r="B14" s="78" t="n">
        <x:f>$B$3</x:f>
        <x:v>1000000</x:v>
      </x:c>
      <x:c r="C14" s="78" t="n">
        <x:f>$B$7</x:f>
        <x:v>57394.71308955513</x:v>
      </x:c>
      <x:c r="D14" s="78" t="n">
        <x:f>B14*($B$4/100)</x:f>
        <x:v>50000</x:v>
      </x:c>
      <x:c r="E14" s="78" t="n">
        <x:f>C14-D14</x:f>
        <x:v>7394.713089555131</x:v>
      </x:c>
      <x:c r="F14" s="78" t="n">
        <x:f>IF(A14=$B$5,0,MAX(0,B14-E14))</x:f>
        <x:v>992605.2869104448</x:v>
      </x:c>
    </x:row>
    <x:row r="15">
      <x:c r="A15" s="74" t="n">
        <x:v>2</x:v>
      </x:c>
      <x:c r="B15" s="78" t="n">
        <x:f>F14</x:f>
        <x:v>992605.2869104448</x:v>
      </x:c>
      <x:c r="C15" s="78" t="n">
        <x:f>$B$7</x:f>
        <x:v>57394.71308955513</x:v>
      </x:c>
      <x:c r="D15" s="78" t="n">
        <x:f>B15*($B$4/100)</x:f>
        <x:v>49630.26434552224</x:v>
      </x:c>
      <x:c r="E15" s="78" t="n">
        <x:f>C15-D15</x:f>
        <x:v>7764.4487440328885</x:v>
      </x:c>
      <x:c r="F15" s="78" t="n">
        <x:f>IF(A15=$B$5,0,MAX(0,B15-E15))</x:f>
        <x:v>984840.838166412</x:v>
      </x:c>
    </x:row>
    <x:row r="16">
      <x:c r="A16" s="74" t="n">
        <x:v>3</x:v>
      </x:c>
      <x:c r="B16" s="78" t="n">
        <x:f>F15</x:f>
        <x:v>984840.838166412</x:v>
      </x:c>
      <x:c r="C16" s="78" t="n">
        <x:f>$B$7</x:f>
        <x:v>57394.71308955513</x:v>
      </x:c>
      <x:c r="D16" s="78" t="n">
        <x:f>B16*($B$4/100)</x:f>
        <x:v>49242.0419083206</x:v>
      </x:c>
      <x:c r="E16" s="78" t="n">
        <x:f>C16-D16</x:f>
        <x:v>8152.671181234531</x:v>
      </x:c>
      <x:c r="F16" s="78" t="n">
        <x:f>IF(A16=$B$5,0,MAX(0,B16-E16))</x:f>
        <x:v>976688.1669851774</x:v>
      </x:c>
    </x:row>
    <x:row r="17">
      <x:c r="A17" s="74" t="n">
        <x:v>4</x:v>
      </x:c>
      <x:c r="B17" s="78" t="n">
        <x:f>F16</x:f>
        <x:v>976688.1669851774</x:v>
      </x:c>
      <x:c r="C17" s="78" t="n">
        <x:f>$B$7</x:f>
        <x:v>57394.71308955513</x:v>
      </x:c>
      <x:c r="D17" s="78" t="n">
        <x:f>B17*($B$4/100)</x:f>
        <x:v>48834.408349258876</x:v>
      </x:c>
      <x:c r="E17" s="78" t="n">
        <x:f>C17-D17</x:f>
        <x:v>8560.304740296255</x:v>
      </x:c>
      <x:c r="F17" s="78" t="n">
        <x:f>IF(A17=$B$5,0,MAX(0,B17-E17))</x:f>
        <x:v>968127.8622448812</x:v>
      </x:c>
    </x:row>
    <x:row r="18">
      <x:c r="A18" s="74" t="n">
        <x:v>5</x:v>
      </x:c>
      <x:c r="B18" s="78" t="n">
        <x:f>F17</x:f>
        <x:v>968127.8622448812</x:v>
      </x:c>
      <x:c r="C18" s="78" t="n">
        <x:f>$B$7</x:f>
        <x:v>57394.71308955513</x:v>
      </x:c>
      <x:c r="D18" s="78" t="n">
        <x:f>B18*($B$4/100)</x:f>
        <x:v>48406.39311224406</x:v>
      </x:c>
      <x:c r="E18" s="78" t="n">
        <x:f>C18-D18</x:f>
        <x:v>8988.319977311068</x:v>
      </x:c>
      <x:c r="F18" s="78" t="n">
        <x:f>IF(A18=$B$5,0,MAX(0,B18-E18))</x:f>
        <x:v>959139.5422675702</x:v>
      </x:c>
    </x:row>
    <x:row r="19">
      <x:c r="A19" s="74" t="n">
        <x:v>6</x:v>
      </x:c>
      <x:c r="B19" s="78" t="n">
        <x:f>F18</x:f>
        <x:v>959139.5422675702</x:v>
      </x:c>
      <x:c r="C19" s="78" t="n">
        <x:f>$B$7</x:f>
        <x:v>57394.71308955513</x:v>
      </x:c>
      <x:c r="D19" s="78" t="n">
        <x:f>B19*($B$4/100)</x:f>
        <x:v>47956.97711337851</x:v>
      </x:c>
      <x:c r="E19" s="78" t="n">
        <x:f>C19-D19</x:f>
        <x:v>9437.73597617662</x:v>
      </x:c>
      <x:c r="F19" s="78" t="n">
        <x:f>IF(A19=$B$5,0,MAX(0,B19-E19))</x:f>
        <x:v>949701.8062913936</x:v>
      </x:c>
    </x:row>
    <x:row r="20">
      <x:c r="A20" s="74" t="n">
        <x:v>7</x:v>
      </x:c>
      <x:c r="B20" s="78" t="n">
        <x:f>F19</x:f>
        <x:v>949701.8062913936</x:v>
      </x:c>
      <x:c r="C20" s="78" t="n">
        <x:f>$B$7</x:f>
        <x:v>57394.71308955513</x:v>
      </x:c>
      <x:c r="D20" s="78" t="n">
        <x:f>B20*($B$4/100)</x:f>
        <x:v>47485.09031456968</x:v>
      </x:c>
      <x:c r="E20" s="78" t="n">
        <x:f>C20-D20</x:f>
        <x:v>9909.622774985452</x:v>
      </x:c>
      <x:c r="F20" s="78" t="n">
        <x:f>IF(A20=$B$5,0,MAX(0,B20-E20))</x:f>
        <x:v>939792.1835164081</x:v>
      </x:c>
    </x:row>
    <x:row r="21">
      <x:c r="A21" s="74" t="n">
        <x:v>8</x:v>
      </x:c>
      <x:c r="B21" s="78" t="n">
        <x:f>F20</x:f>
        <x:v>939792.1835164081</x:v>
      </x:c>
      <x:c r="C21" s="78" t="n">
        <x:f>$B$7</x:f>
        <x:v>57394.71308955513</x:v>
      </x:c>
      <x:c r="D21" s="78" t="n">
        <x:f>B21*($B$4/100)</x:f>
        <x:v>46989.609175820406</x:v>
      </x:c>
      <x:c r="E21" s="78" t="n">
        <x:f>C21-D21</x:f>
        <x:v>10405.103913734725</x:v>
      </x:c>
      <x:c r="F21" s="78" t="n">
        <x:f>IF(A21=$B$5,0,MAX(0,B21-E21))</x:f>
        <x:v>929387.0796026734</x:v>
      </x:c>
    </x:row>
    <x:row r="22">
      <x:c r="A22" s="74" t="n">
        <x:v>9</x:v>
      </x:c>
      <x:c r="B22" s="78" t="n">
        <x:f>F21</x:f>
        <x:v>929387.0796026734</x:v>
      </x:c>
      <x:c r="C22" s="78" t="n">
        <x:f>$B$7</x:f>
        <x:v>57394.71308955513</x:v>
      </x:c>
      <x:c r="D22" s="78" t="n">
        <x:f>B22*($B$4/100)</x:f>
        <x:v>46469.353980133674</x:v>
      </x:c>
      <x:c r="E22" s="78" t="n">
        <x:f>C22-D22</x:f>
        <x:v>10925.359109421457</x:v>
      </x:c>
      <x:c r="F22" s="78" t="n">
        <x:f>IF(A22=$B$5,0,MAX(0,B22-E22))</x:f>
        <x:v>918461.7204932519</x:v>
      </x:c>
    </x:row>
    <x:row r="23">
      <x:c r="A23" s="74" t="n">
        <x:v>10</x:v>
      </x:c>
      <x:c r="B23" s="78" t="n">
        <x:f>F22</x:f>
        <x:v>918461.7204932519</x:v>
      </x:c>
      <x:c r="C23" s="78" t="n">
        <x:f>$B$7</x:f>
        <x:v>57394.71308955513</x:v>
      </x:c>
      <x:c r="D23" s="78" t="n">
        <x:f>B23*($B$4/100)</x:f>
        <x:v>45923.086024662596</x:v>
      </x:c>
      <x:c r="E23" s="78" t="n">
        <x:f>C23-D23</x:f>
        <x:v>11471.627064892535</x:v>
      </x:c>
      <x:c r="F23" s="78" t="n">
        <x:f>IF(A23=$B$5,0,MAX(0,B23-E23))</x:f>
        <x:v>906990.0934283594</x:v>
      </x:c>
    </x:row>
    <x:row r="24">
      <x:c r="A24" s="74" t="n">
        <x:v>11</x:v>
      </x:c>
      <x:c r="B24" s="78" t="n">
        <x:f>F23</x:f>
        <x:v>906990.0934283594</x:v>
      </x:c>
      <x:c r="C24" s="78" t="n">
        <x:f>$B$7</x:f>
        <x:v>57394.71308955513</x:v>
      </x:c>
      <x:c r="D24" s="78" t="n">
        <x:f>B24*($B$4/100)</x:f>
        <x:v>45349.50467141797</x:v>
      </x:c>
      <x:c r="E24" s="78" t="n">
        <x:f>C24-D24</x:f>
        <x:v>12045.208418137161</x:v>
      </x:c>
      <x:c r="F24" s="78" t="n">
        <x:f>IF(A24=$B$5,0,MAX(0,B24-E24))</x:f>
        <x:v>894944.8850102222</x:v>
      </x:c>
    </x:row>
    <x:row r="25">
      <x:c r="A25" s="74" t="n">
        <x:v>12</x:v>
      </x:c>
      <x:c r="B25" s="78" t="n">
        <x:f>F24</x:f>
        <x:v>894944.8850102222</x:v>
      </x:c>
      <x:c r="C25" s="78" t="n">
        <x:f>$B$7</x:f>
        <x:v>57394.71308955513</x:v>
      </x:c>
      <x:c r="D25" s="78" t="n">
        <x:f>B25*($B$4/100)</x:f>
        <x:v>44747.24425051111</x:v>
      </x:c>
      <x:c r="E25" s="78" t="n">
        <x:f>C25-D25</x:f>
        <x:v>12647.46883904402</x:v>
      </x:c>
      <x:c r="F25" s="78" t="n">
        <x:f>IF(A25=$B$5,0,MAX(0,B25-E25))</x:f>
        <x:v>882297.4161711782</x:v>
      </x:c>
    </x:row>
    <x:row r="26">
      <x:c r="A26" s="74" t="n">
        <x:v>13</x:v>
      </x:c>
      <x:c r="B26" s="78" t="n">
        <x:f>F25</x:f>
        <x:v>882297.4161711782</x:v>
      </x:c>
      <x:c r="C26" s="78" t="n">
        <x:f>$B$7</x:f>
        <x:v>57394.71308955513</x:v>
      </x:c>
      <x:c r="D26" s="78" t="n">
        <x:f>B26*($B$4/100)</x:f>
        <x:v>44114.87080855892</x:v>
      </x:c>
      <x:c r="E26" s="78" t="n">
        <x:f>C26-D26</x:f>
        <x:v>13279.842280996214</x:v>
      </x:c>
      <x:c r="F26" s="78" t="n">
        <x:f>IF(A26=$B$5,0,MAX(0,B26-E26))</x:f>
        <x:v>869017.573890182</x:v>
      </x:c>
    </x:row>
    <x:row r="27">
      <x:c r="A27" s="74" t="n">
        <x:v>14</x:v>
      </x:c>
      <x:c r="B27" s="78" t="n">
        <x:f>F26</x:f>
        <x:v>869017.573890182</x:v>
      </x:c>
      <x:c r="C27" s="78" t="n">
        <x:f>$B$7</x:f>
        <x:v>57394.71308955513</x:v>
      </x:c>
      <x:c r="D27" s="78" t="n">
        <x:f>B27*($B$4/100)</x:f>
        <x:v>43450.8786945091</x:v>
      </x:c>
      <x:c r="E27" s="78" t="n">
        <x:f>C27-D27</x:f>
        <x:v>13943.834395046033</x:v>
      </x:c>
      <x:c r="F27" s="78" t="n">
        <x:f>IF(A27=$B$5,0,MAX(0,B27-E27))</x:f>
        <x:v>855073.739495136</x:v>
      </x:c>
    </x:row>
    <x:row r="28">
      <x:c r="A28" s="74" t="n">
        <x:v>15</x:v>
      </x:c>
      <x:c r="B28" s="78" t="n">
        <x:f>F27</x:f>
        <x:v>855073.739495136</x:v>
      </x:c>
      <x:c r="C28" s="78" t="n">
        <x:f>$B$7</x:f>
        <x:v>57394.71308955513</x:v>
      </x:c>
      <x:c r="D28" s="78" t="n">
        <x:f>B28*($B$4/100)</x:f>
        <x:v>42753.6869747568</x:v>
      </x:c>
      <x:c r="E28" s="78" t="n">
        <x:f>C28-D28</x:f>
        <x:v>14641.026114798333</x:v>
      </x:c>
      <x:c r="F28" s="78" t="n">
        <x:f>IF(A28=$B$5,0,MAX(0,B28-E28))</x:f>
        <x:v>840432.7133803376</x:v>
      </x:c>
    </x:row>
    <x:row r="29">
      <x:c r="A29" s="74" t="n">
        <x:v>16</x:v>
      </x:c>
      <x:c r="B29" s="78" t="n">
        <x:f>F28</x:f>
        <x:v>840432.7133803376</x:v>
      </x:c>
      <x:c r="C29" s="78" t="n">
        <x:f>$B$7</x:f>
        <x:v>57394.71308955513</x:v>
      </x:c>
      <x:c r="D29" s="78" t="n">
        <x:f>B29*($B$4/100)</x:f>
        <x:v>42021.63566901688</x:v>
      </x:c>
      <x:c r="E29" s="78" t="n">
        <x:f>C29-D29</x:f>
        <x:v>15373.077420538248</x:v>
      </x:c>
      <x:c r="F29" s="78" t="n">
        <x:f>IF(A29=$B$5,0,MAX(0,B29-E29))</x:f>
        <x:v>825059.6359597993</x:v>
      </x:c>
    </x:row>
    <x:row r="30">
      <x:c r="A30" s="74" t="n">
        <x:v>17</x:v>
      </x:c>
      <x:c r="B30" s="78" t="n">
        <x:f>F29</x:f>
        <x:v>825059.6359597993</x:v>
      </x:c>
      <x:c r="C30" s="78" t="n">
        <x:f>$B$7</x:f>
        <x:v>57394.71308955513</x:v>
      </x:c>
      <x:c r="D30" s="78" t="n">
        <x:f>B30*($B$4/100)</x:f>
        <x:v>41252.98179798997</x:v>
      </x:c>
      <x:c r="E30" s="78" t="n">
        <x:f>C30-D30</x:f>
        <x:v>16141.731291565164</x:v>
      </x:c>
      <x:c r="F30" s="78" t="n">
        <x:f>IF(A30=$B$5,0,MAX(0,B30-E30))</x:f>
        <x:v>808917.9046682342</x:v>
      </x:c>
    </x:row>
    <x:row r="31">
      <x:c r="A31" s="74" t="n">
        <x:v>18</x:v>
      </x:c>
      <x:c r="B31" s="78" t="n">
        <x:f>F30</x:f>
        <x:v>808917.9046682342</x:v>
      </x:c>
      <x:c r="C31" s="78" t="n">
        <x:f>$B$7</x:f>
        <x:v>57394.71308955513</x:v>
      </x:c>
      <x:c r="D31" s="78" t="n">
        <x:f>B31*($B$4/100)</x:f>
        <x:v>40445.89523341171</x:v>
      </x:c>
      <x:c r="E31" s="78" t="n">
        <x:f>C31-D31</x:f>
        <x:v>16948.817856143418</x:v>
      </x:c>
      <x:c r="F31" s="78" t="n">
        <x:f>IF(A31=$B$5,0,MAX(0,B31-E31))</x:f>
        <x:v>791969.0868120907</x:v>
      </x:c>
    </x:row>
    <x:row r="32">
      <x:c r="A32" s="74" t="n">
        <x:v>19</x:v>
      </x:c>
      <x:c r="B32" s="78" t="n">
        <x:f>F31</x:f>
        <x:v>791969.0868120907</x:v>
      </x:c>
      <x:c r="C32" s="78" t="n">
        <x:f>$B$7</x:f>
        <x:v>57394.71308955513</x:v>
      </x:c>
      <x:c r="D32" s="78" t="n">
        <x:f>B32*($B$4/100)</x:f>
        <x:v>39598.45434060454</x:v>
      </x:c>
      <x:c r="E32" s="78" t="n">
        <x:f>C32-D32</x:f>
        <x:v>17796.25874895059</x:v>
      </x:c>
      <x:c r="F32" s="78" t="n">
        <x:f>IF(A32=$B$5,0,MAX(0,B32-E32))</x:f>
        <x:v>774172.8280631402</x:v>
      </x:c>
    </x:row>
    <x:row r="33">
      <x:c r="A33" s="74" t="n">
        <x:v>20</x:v>
      </x:c>
      <x:c r="B33" s="78" t="n">
        <x:f>F32</x:f>
        <x:v>774172.8280631402</x:v>
      </x:c>
      <x:c r="C33" s="78" t="n">
        <x:f>$B$7</x:f>
        <x:v>57394.71308955513</x:v>
      </x:c>
      <x:c r="D33" s="78" t="n">
        <x:f>B33*($B$4/100)</x:f>
        <x:v>38708.64140315701</x:v>
      </x:c>
      <x:c r="E33" s="78" t="n">
        <x:f>C33-D33</x:f>
        <x:v>18686.07168639812</x:v>
      </x:c>
      <x:c r="F33" s="78" t="n">
        <x:f>IF(A33=$B$5,0,MAX(0,B33-E33))</x:f>
        <x:v>755486.756376742</x:v>
      </x:c>
    </x:row>
    <x:row r="34">
      <x:c r="A34" s="74" t="n">
        <x:v>21</x:v>
      </x:c>
      <x:c r="B34" s="78" t="n">
        <x:f>F33</x:f>
        <x:v>755486.756376742</x:v>
      </x:c>
      <x:c r="C34" s="78" t="n">
        <x:f>$B$7</x:f>
        <x:v>57394.71308955513</x:v>
      </x:c>
      <x:c r="D34" s="78" t="n">
        <x:f>B34*($B$4/100)</x:f>
        <x:v>37774.337818837106</x:v>
      </x:c>
      <x:c r="E34" s="78" t="n">
        <x:f>C34-D34</x:f>
        <x:v>19620.375270718025</x:v>
      </x:c>
      <x:c r="F34" s="78" t="n">
        <x:f>IF(A34=$B$5,0,MAX(0,B34-E34))</x:f>
        <x:v>735866.381106024</x:v>
      </x:c>
    </x:row>
    <x:row r="35">
      <x:c r="A35" s="74" t="n">
        <x:v>22</x:v>
      </x:c>
      <x:c r="B35" s="78" t="n">
        <x:f>F34</x:f>
        <x:v>735866.381106024</x:v>
      </x:c>
      <x:c r="C35" s="78" t="n">
        <x:f>$B$7</x:f>
        <x:v>57394.71308955513</x:v>
      </x:c>
      <x:c r="D35" s="78" t="n">
        <x:f>B35*($B$4/100)</x:f>
        <x:v>36793.3190553012</x:v>
      </x:c>
      <x:c r="E35" s="78" t="n">
        <x:f>C35-D35</x:f>
        <x:v>20601.394034253928</x:v>
      </x:c>
      <x:c r="F35" s="78" t="n">
        <x:f>IF(A35=$B$5,0,MAX(0,B35-E35))</x:f>
        <x:v>715264.9870717701</x:v>
      </x:c>
    </x:row>
    <x:row r="36">
      <x:c r="A36" s="74" t="n">
        <x:v>23</x:v>
      </x:c>
      <x:c r="B36" s="78" t="n">
        <x:f>F35</x:f>
        <x:v>715264.9870717701</x:v>
      </x:c>
      <x:c r="C36" s="78" t="n">
        <x:f>$B$7</x:f>
        <x:v>57394.71308955513</x:v>
      </x:c>
      <x:c r="D36" s="78" t="n">
        <x:f>B36*($B$4/100)</x:f>
        <x:v>35763.24935358851</x:v>
      </x:c>
      <x:c r="E36" s="78" t="n">
        <x:f>C36-D36</x:f>
        <x:v>21631.463735966623</x:v>
      </x:c>
      <x:c r="F36" s="78" t="n">
        <x:f>IF(A36=$B$5,0,MAX(0,B36-E36))</x:f>
        <x:v>693633.5233358035</x:v>
      </x:c>
    </x:row>
    <x:row r="37">
      <x:c r="A37" s="74" t="n">
        <x:v>24</x:v>
      </x:c>
      <x:c r="B37" s="78" t="n">
        <x:f>F36</x:f>
        <x:v>693633.5233358035</x:v>
      </x:c>
      <x:c r="C37" s="78" t="n">
        <x:f>$B$7</x:f>
        <x:v>57394.71308955513</x:v>
      </x:c>
      <x:c r="D37" s="78" t="n">
        <x:f>B37*($B$4/100)</x:f>
        <x:v>34681.67616679018</x:v>
      </x:c>
      <x:c r="E37" s="78" t="n">
        <x:f>C37-D37</x:f>
        <x:v>22713.03692276495</x:v>
      </x:c>
      <x:c r="F37" s="78" t="n">
        <x:f>IF(A37=$B$5,0,MAX(0,B37-E37))</x:f>
        <x:v>670920.4864130386</x:v>
      </x:c>
    </x:row>
    <x:row r="38">
      <x:c r="A38" s="74" t="n">
        <x:v>25</x:v>
      </x:c>
      <x:c r="B38" s="78" t="n">
        <x:f>F37</x:f>
        <x:v>670920.4864130386</x:v>
      </x:c>
      <x:c r="C38" s="78" t="n">
        <x:f>$B$7</x:f>
        <x:v>57394.71308955513</x:v>
      </x:c>
      <x:c r="D38" s="78" t="n">
        <x:f>B38*($B$4/100)</x:f>
        <x:v>33546.02432065193</x:v>
      </x:c>
      <x:c r="E38" s="78" t="n">
        <x:f>C38-D38</x:f>
        <x:v>23848.6887689032</x:v>
      </x:c>
      <x:c r="F38" s="78" t="n">
        <x:f>IF(A38=$B$5,0,MAX(0,B38-E38))</x:f>
        <x:v>647071.7976441353</x:v>
      </x:c>
    </x:row>
    <x:row r="39">
      <x:c r="A39" s="74" t="n">
        <x:v>26</x:v>
      </x:c>
      <x:c r="B39" s="78" t="n">
        <x:f>F38</x:f>
        <x:v>647071.7976441353</x:v>
      </x:c>
      <x:c r="C39" s="78" t="n">
        <x:f>$B$7</x:f>
        <x:v>57394.71308955513</x:v>
      </x:c>
      <x:c r="D39" s="78" t="n">
        <x:f>B39*($B$4/100)</x:f>
        <x:v>32353.58988220677</x:v>
      </x:c>
      <x:c r="E39" s="78" t="n">
        <x:f>C39-D39</x:f>
        <x:v>25041.123207348362</x:v>
      </x:c>
      <x:c r="F39" s="78" t="n">
        <x:f>IF(A39=$B$5,0,MAX(0,B39-E39))</x:f>
        <x:v>622030.6744367869</x:v>
      </x:c>
    </x:row>
    <x:row r="40">
      <x:c r="A40" s="74" t="n">
        <x:v>27</x:v>
      </x:c>
      <x:c r="B40" s="78" t="n">
        <x:f>F39</x:f>
        <x:v>622030.6744367869</x:v>
      </x:c>
      <x:c r="C40" s="78" t="n">
        <x:f>$B$7</x:f>
        <x:v>57394.71308955513</x:v>
      </x:c>
      <x:c r="D40" s="78" t="n">
        <x:f>B40*($B$4/100)</x:f>
        <x:v>31101.533721839347</x:v>
      </x:c>
      <x:c r="E40" s="78" t="n">
        <x:f>C40-D40</x:f>
        <x:v>26293.179367715784</x:v>
      </x:c>
      <x:c r="F40" s="78" t="n">
        <x:f>IF(A40=$B$5,0,MAX(0,B40-E40))</x:f>
        <x:v>595737.4950690712</x:v>
      </x:c>
    </x:row>
    <x:row r="41">
      <x:c r="A41" s="74" t="n">
        <x:v>28</x:v>
      </x:c>
      <x:c r="B41" s="78" t="n">
        <x:f>F40</x:f>
        <x:v>595737.4950690712</x:v>
      </x:c>
      <x:c r="C41" s="78" t="n">
        <x:f>$B$7</x:f>
        <x:v>57394.71308955513</x:v>
      </x:c>
      <x:c r="D41" s="78" t="n">
        <x:f>B41*($B$4/100)</x:f>
        <x:v>29786.87475345356</x:v>
      </x:c>
      <x:c r="E41" s="78" t="n">
        <x:f>C41-D41</x:f>
        <x:v>27607.83833610157</x:v>
      </x:c>
      <x:c r="F41" s="78" t="n">
        <x:f>IF(A41=$B$5,0,MAX(0,B41-E41))</x:f>
        <x:v>568129.6567329696</x:v>
      </x:c>
    </x:row>
    <x:row r="42">
      <x:c r="A42" s="74" t="n">
        <x:v>29</x:v>
      </x:c>
      <x:c r="B42" s="78" t="n">
        <x:f>F41</x:f>
        <x:v>568129.6567329696</x:v>
      </x:c>
      <x:c r="C42" s="78" t="n">
        <x:f>$B$7</x:f>
        <x:v>57394.71308955513</x:v>
      </x:c>
      <x:c r="D42" s="78" t="n">
        <x:f>B42*($B$4/100)</x:f>
        <x:v>28406.48283664848</x:v>
      </x:c>
      <x:c r="E42" s="78" t="n">
        <x:f>C42-D42</x:f>
        <x:v>28988.23025290665</x:v>
      </x:c>
      <x:c r="F42" s="78" t="n">
        <x:f>IF(A42=$B$5,0,MAX(0,B42-E42))</x:f>
        <x:v>539141.4264800629</x:v>
      </x:c>
    </x:row>
    <x:row r="43">
      <x:c r="A43" s="74" t="n">
        <x:v>30</x:v>
      </x:c>
      <x:c r="B43" s="78" t="n">
        <x:f>F42</x:f>
        <x:v>539141.4264800629</x:v>
      </x:c>
      <x:c r="C43" s="78" t="n">
        <x:f>$B$7</x:f>
        <x:v>57394.71308955513</x:v>
      </x:c>
      <x:c r="D43" s="78" t="n">
        <x:f>B43*($B$4/100)</x:f>
        <x:v>26957.071324003147</x:v>
      </x:c>
      <x:c r="E43" s="78" t="n">
        <x:f>C43-D43</x:f>
        <x:v>30437.641765551984</x:v>
      </x:c>
      <x:c r="F43" s="78" t="n">
        <x:f>IF(A43=$B$5,0,MAX(0,B43-E43))</x:f>
        <x:v>508703.7847145109</x:v>
      </x:c>
    </x:row>
    <x:row r="44">
      <x:c r="A44" s="74" t="n">
        <x:v>31</x:v>
      </x:c>
      <x:c r="B44" s="78" t="n">
        <x:f>F43</x:f>
        <x:v>508703.7847145109</x:v>
      </x:c>
      <x:c r="C44" s="78" t="n">
        <x:f>$B$7</x:f>
        <x:v>57394.71308955513</x:v>
      </x:c>
      <x:c r="D44" s="78" t="n">
        <x:f>B44*($B$4/100)</x:f>
        <x:v>25435.189235725546</x:v>
      </x:c>
      <x:c r="E44" s="78" t="n">
        <x:f>C44-D44</x:f>
        <x:v>31959.523853829585</x:v>
      </x:c>
      <x:c r="F44" s="78" t="n">
        <x:f>IF(A44=$B$5,0,MAX(0,B44-E44))</x:f>
        <x:v>476744.2608606813</x:v>
      </x:c>
    </x:row>
    <x:row r="45">
      <x:c r="A45" s="74" t="n">
        <x:v>32</x:v>
      </x:c>
      <x:c r="B45" s="78" t="n">
        <x:f>F44</x:f>
        <x:v>476744.2608606813</x:v>
      </x:c>
      <x:c r="C45" s="78" t="n">
        <x:f>$B$7</x:f>
        <x:v>57394.71308955513</x:v>
      </x:c>
      <x:c r="D45" s="78" t="n">
        <x:f>B45*($B$4/100)</x:f>
        <x:v>23837.213043034066</x:v>
      </x:c>
      <x:c r="E45" s="78" t="n">
        <x:f>C45-D45</x:f>
        <x:v>33557.50004652106</x:v>
      </x:c>
      <x:c r="F45" s="78" t="n">
        <x:f>IF(A45=$B$5,0,MAX(0,B45-E45))</x:f>
        <x:v>443186.7608141602</x:v>
      </x:c>
    </x:row>
    <x:row r="46">
      <x:c r="A46" s="74" t="n">
        <x:v>33</x:v>
      </x:c>
      <x:c r="B46" s="78" t="n">
        <x:f>F45</x:f>
        <x:v>443186.7608141602</x:v>
      </x:c>
      <x:c r="C46" s="78" t="n">
        <x:f>$B$7</x:f>
        <x:v>57394.71308955513</x:v>
      </x:c>
      <x:c r="D46" s="78" t="n">
        <x:f>B46*($B$4/100)</x:f>
        <x:v>22159.33804070801</x:v>
      </x:c>
      <x:c r="E46" s="78" t="n">
        <x:f>C46-D46</x:f>
        <x:v>35235.37504884712</x:v>
      </x:c>
      <x:c r="F46" s="78" t="n">
        <x:f>IF(A46=$B$5,0,MAX(0,B46-E46))</x:f>
        <x:v>407951.3857653131</x:v>
      </x:c>
    </x:row>
    <x:row r="47">
      <x:c r="A47" s="74" t="n">
        <x:v>34</x:v>
      </x:c>
      <x:c r="B47" s="78" t="n">
        <x:f>F46</x:f>
        <x:v>407951.3857653131</x:v>
      </x:c>
      <x:c r="C47" s="78" t="n">
        <x:f>$B$7</x:f>
        <x:v>57394.71308955513</x:v>
      </x:c>
      <x:c r="D47" s="78" t="n">
        <x:f>B47*($B$4/100)</x:f>
        <x:v>20397.56928826566</x:v>
      </x:c>
      <x:c r="E47" s="78" t="n">
        <x:f>C47-D47</x:f>
        <x:v>36997.14380128947</x:v>
      </x:c>
      <x:c r="F47" s="78" t="n">
        <x:f>IF(A47=$B$5,0,MAX(0,B47-E47))</x:f>
        <x:v>370954.2419640236</x:v>
      </x:c>
    </x:row>
    <x:row r="48">
      <x:c r="A48" s="74" t="n">
        <x:v>35</x:v>
      </x:c>
      <x:c r="B48" s="78" t="n">
        <x:f>F47</x:f>
        <x:v>370954.2419640236</x:v>
      </x:c>
      <x:c r="C48" s="78" t="n">
        <x:f>$B$7</x:f>
        <x:v>57394.71308955513</x:v>
      </x:c>
      <x:c r="D48" s="78" t="n">
        <x:f>B48*($B$4/100)</x:f>
        <x:v>18547.71209820118</x:v>
      </x:c>
      <x:c r="E48" s="78" t="n">
        <x:f>C48-D48</x:f>
        <x:v>38847.000991353954</x:v>
      </x:c>
      <x:c r="F48" s="78" t="n">
        <x:f>IF(A48=$B$5,0,MAX(0,B48-E48))</x:f>
        <x:v>332107.2409726697</x:v>
      </x:c>
    </x:row>
    <x:row r="49">
      <x:c r="A49" s="74" t="n">
        <x:v>36</x:v>
      </x:c>
      <x:c r="B49" s="78" t="n">
        <x:f>F48</x:f>
        <x:v>332107.2409726697</x:v>
      </x:c>
      <x:c r="C49" s="78" t="n">
        <x:f>$B$7</x:f>
        <x:v>57394.71308955513</x:v>
      </x:c>
      <x:c r="D49" s="78" t="n">
        <x:f>B49*($B$4/100)</x:f>
        <x:v>16605.362048633484</x:v>
      </x:c>
      <x:c r="E49" s="78" t="n">
        <x:f>C49-D49</x:f>
        <x:v>40789.35104092165</x:v>
      </x:c>
      <x:c r="F49" s="78" t="n">
        <x:f>IF(A49=$B$5,0,MAX(0,B49-E49))</x:f>
        <x:v>291317.88993174804</x:v>
      </x:c>
    </x:row>
    <x:row r="50">
      <x:c r="A50" s="74" t="n">
        <x:v>37</x:v>
      </x:c>
      <x:c r="B50" s="78" t="n">
        <x:f>F49</x:f>
        <x:v>291317.88993174804</x:v>
      </x:c>
      <x:c r="C50" s="78" t="n">
        <x:f>$B$7</x:f>
        <x:v>57394.71308955513</x:v>
      </x:c>
      <x:c r="D50" s="78" t="n">
        <x:f>B50*($B$4/100)</x:f>
        <x:v>14565.894496587403</x:v>
      </x:c>
      <x:c r="E50" s="78" t="n">
        <x:f>C50-D50</x:f>
        <x:v>42828.81859296773</x:v>
      </x:c>
      <x:c r="F50" s="78" t="n">
        <x:f>IF(A50=$B$5,0,MAX(0,B50-E50))</x:f>
        <x:v>248489.0713387803</x:v>
      </x:c>
    </x:row>
    <x:row r="51">
      <x:c r="A51" s="74" t="n">
        <x:v>38</x:v>
      </x:c>
      <x:c r="B51" s="78" t="n">
        <x:f>F50</x:f>
        <x:v>248489.0713387803</x:v>
      </x:c>
      <x:c r="C51" s="78" t="n">
        <x:f>$B$7</x:f>
        <x:v>57394.71308955513</x:v>
      </x:c>
      <x:c r="D51" s="78" t="n">
        <x:f>B51*($B$4/100)</x:f>
        <x:v>12424.453566939017</x:v>
      </x:c>
      <x:c r="E51" s="78" t="n">
        <x:f>C51-D51</x:f>
        <x:v>44970.259522616114</x:v>
      </x:c>
      <x:c r="F51" s="78" t="n">
        <x:f>IF(A51=$B$5,0,MAX(0,B51-E51))</x:f>
        <x:v>203518.8118161642</x:v>
      </x:c>
    </x:row>
    <x:row r="52">
      <x:c r="A52" s="74" t="n">
        <x:v>39</x:v>
      </x:c>
      <x:c r="B52" s="78" t="n">
        <x:f>F51</x:f>
        <x:v>203518.8118161642</x:v>
      </x:c>
      <x:c r="C52" s="78" t="n">
        <x:f>$B$7</x:f>
        <x:v>57394.71308955513</x:v>
      </x:c>
      <x:c r="D52" s="78" t="n">
        <x:f>B52*($B$4/100)</x:f>
        <x:v>10175.940590808212</x:v>
      </x:c>
      <x:c r="E52" s="78" t="n">
        <x:f>C52-D52</x:f>
        <x:v>47218.77249874692</x:v>
      </x:c>
      <x:c r="F52" s="78" t="n">
        <x:f>IF(A52=$B$5,0,MAX(0,B52-E52))</x:f>
        <x:v>156300.03931741728</x:v>
      </x:c>
    </x:row>
    <x:row r="53">
      <x:c r="A53" s="74" t="n">
        <x:v>40</x:v>
      </x:c>
      <x:c r="B53" s="78" t="n">
        <x:f>F52</x:f>
        <x:v>156300.03931741728</x:v>
      </x:c>
      <x:c r="C53" s="78" t="n">
        <x:f>$B$7</x:f>
        <x:v>57394.71308955513</x:v>
      </x:c>
      <x:c r="D53" s="78" t="n">
        <x:f>B53*($B$4/100)</x:f>
        <x:v>7815.001965870864</x:v>
      </x:c>
      <x:c r="E53" s="78" t="n">
        <x:f>C53-D53</x:f>
        <x:v>49579.71112368427</x:v>
      </x:c>
      <x:c r="F53" s="78" t="n">
        <x:f>IF(A53=$B$5,0,MAX(0,B53-E53))</x:f>
        <x:v>106720.328193733</x:v>
      </x:c>
    </x:row>
    <x:row r="54">
      <x:c r="A54" s="74" t="n">
        <x:v>41</x:v>
      </x:c>
      <x:c r="B54" s="78" t="n">
        <x:f>F53</x:f>
        <x:v>106720.328193733</x:v>
      </x:c>
      <x:c r="C54" s="78" t="n">
        <x:f>$B$7</x:f>
        <x:v>57394.71308955513</x:v>
      </x:c>
      <x:c r="D54" s="78" t="n">
        <x:f>B54*($B$4/100)</x:f>
        <x:v>5336.01640968665</x:v>
      </x:c>
      <x:c r="E54" s="78" t="n">
        <x:f>C54-D54</x:f>
        <x:v>52058.69667986848</x:v>
      </x:c>
      <x:c r="F54" s="78" t="n">
        <x:f>IF(A54=$B$5,0,MAX(0,B54-E54))</x:f>
        <x:v>54661.63151386452</x:v>
      </x:c>
    </x:row>
    <x:row r="55">
      <x:c r="A55" s="75" t="n">
        <x:v>42</x:v>
      </x:c>
      <x:c r="B55" s="79" t="n">
        <x:f>F54</x:f>
        <x:v>54661.63151386452</x:v>
      </x:c>
      <x:c r="C55" s="79" t="n">
        <x:f>$B$7</x:f>
        <x:v>57394.71308955513</x:v>
      </x:c>
      <x:c r="D55" s="79" t="n">
        <x:f>B55*($B$4/100)</x:f>
        <x:v>2733.081575693226</x:v>
      </x:c>
      <x:c r="E55" s="79" t="n">
        <x:f>C55-D55</x:f>
        <x:v>54661.6315138619</x:v>
      </x:c>
      <x:c r="F55" s="79" t="n">
        <x:f>IF(A55=$B$5,0,MAX(0,B55-E55))</x:f>
        <x:v>0</x:v>
      </x:c>
    </x:row>
  </x:sheetData>
  <x:mergeCells>
    <x:mergeCell ref="A1:F1"/>
    <x:mergeCell ref="A11:F11"/>
  </x:mergeCells>
  <x:conditionalFormatting sqref="A14:F55">
    <x:cfRule type="expression" dxfId="6" priority="1">
      <x:formula>MOD($A14,2)=0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5" t="str">
        <x:v>Préstamo con amortización francesa — 48 meses</x:v>
      </x:c>
      <x:c r="B1" s="5"/>
      <x:c r="C1" s="5"/>
      <x:c r="D1" s="5"/>
      <x:c r="E1" s="5"/>
      <x:c r="F1" s="5"/>
    </x:row>
    <x:row r="3">
      <x:c r="A3" s="11" t="str">
        <x:v>Monto del préstamo ($)</x:v>
      </x:c>
      <x:c r="B3" s="44" t="n">
        <x:v>1000000</x:v>
      </x:c>
    </x:row>
    <x:row r="4">
      <x:c r="A4" s="11" t="str">
        <x:v>Tasa de interés mensual (%)</x:v>
      </x:c>
      <x:c r="B4" s="46" t="n">
        <x:v>5</x:v>
      </x:c>
    </x:row>
    <x:row r="5">
      <x:c r="A5" s="12" t="str">
        <x:v>Plazo (meses)</x:v>
      </x:c>
      <x:c r="B5" s="48" t="n">
        <x:v>48</x:v>
      </x:c>
    </x:row>
    <x:row r="7">
      <x:c r="A7" s="35" t="str">
        <x:v>Cuota mensual ($)</x:v>
      </x:c>
      <x:c r="B7" s="50" t="n">
        <x:f>IF(B4=0,B3/B5,B3*(B4/100)/(1-(1+B4/100)^(-B5)))</x:f>
        <x:v>55318.43058200794</x:v>
      </x:c>
    </x:row>
    <x:row r="8">
      <x:c r="A8" s="35" t="str">
        <x:v>Total pagado ($)</x:v>
      </x:c>
      <x:c r="B8" s="50" t="n">
        <x:f>B7*B5</x:f>
        <x:v>2655284.667936381</x:v>
      </x:c>
    </x:row>
    <x:row r="9">
      <x:c r="A9" s="35" t="str">
        <x:v>Intereses totales ($)</x:v>
      </x:c>
      <x:c r="B9" s="50" t="n">
        <x:f>B8-B3</x:f>
        <x:v>1655284.667936381</x:v>
      </x:c>
    </x:row>
    <x:row r="11" ht="30" customHeight="1">
      <x:c r="A11" s="53" t="str">
        <x:v>Editá solamente las celdas amarillas B3 y B4. La tasa ingresada debe ser mensual (por ejemplo, 5 = 5% mensual).</x:v>
      </x:c>
      <x:c r="B11" s="53"/>
      <x:c r="C11" s="53"/>
      <x:c r="D11" s="53"/>
      <x:c r="E11" s="53"/>
      <x:c r="F11" s="53"/>
    </x:row>
    <x:row r="13" ht="24" customHeight="1">
      <x:c r="A13" s="60" t="str">
        <x:v>Cuota N°</x:v>
      </x:c>
      <x:c r="B13" s="60" t="str">
        <x:v>Saldo inicial ($)</x:v>
      </x:c>
      <x:c r="C13" s="60" t="str">
        <x:v>Cuota ($)</x:v>
      </x:c>
      <x:c r="D13" s="60" t="str">
        <x:v>Interés ($)</x:v>
      </x:c>
      <x:c r="E13" s="60" t="str">
        <x:v>Amortización ($)</x:v>
      </x:c>
      <x:c r="F13" s="60" t="str">
        <x:v>Saldo final ($)</x:v>
      </x:c>
    </x:row>
    <x:row r="14">
      <x:c r="A14" s="74" t="n">
        <x:v>1</x:v>
      </x:c>
      <x:c r="B14" s="78" t="n">
        <x:f>$B$3</x:f>
        <x:v>1000000</x:v>
      </x:c>
      <x:c r="C14" s="78" t="n">
        <x:f>$B$7</x:f>
        <x:v>55318.43058200794</x:v>
      </x:c>
      <x:c r="D14" s="78" t="n">
        <x:f>B14*($B$4/100)</x:f>
        <x:v>50000</x:v>
      </x:c>
      <x:c r="E14" s="78" t="n">
        <x:f>C14-D14</x:f>
        <x:v>5318.430582007939</x:v>
      </x:c>
      <x:c r="F14" s="78" t="n">
        <x:f>IF(A14=$B$5,0,MAX(0,B14-E14))</x:f>
        <x:v>994681.569417992</x:v>
      </x:c>
    </x:row>
    <x:row r="15">
      <x:c r="A15" s="74" t="n">
        <x:v>2</x:v>
      </x:c>
      <x:c r="B15" s="78" t="n">
        <x:f>F14</x:f>
        <x:v>994681.569417992</x:v>
      </x:c>
      <x:c r="C15" s="78" t="n">
        <x:f>$B$7</x:f>
        <x:v>55318.43058200794</x:v>
      </x:c>
      <x:c r="D15" s="78" t="n">
        <x:f>B15*($B$4/100)</x:f>
        <x:v>49734.07847089961</x:v>
      </x:c>
      <x:c r="E15" s="78" t="n">
        <x:f>C15-D15</x:f>
        <x:v>5584.352111108332</x:v>
      </x:c>
      <x:c r="F15" s="78" t="n">
        <x:f>IF(A15=$B$5,0,MAX(0,B15-E15))</x:f>
        <x:v>989097.2173068837</x:v>
      </x:c>
    </x:row>
    <x:row r="16">
      <x:c r="A16" s="74" t="n">
        <x:v>3</x:v>
      </x:c>
      <x:c r="B16" s="78" t="n">
        <x:f>F15</x:f>
        <x:v>989097.2173068837</x:v>
      </x:c>
      <x:c r="C16" s="78" t="n">
        <x:f>$B$7</x:f>
        <x:v>55318.43058200794</x:v>
      </x:c>
      <x:c r="D16" s="78" t="n">
        <x:f>B16*($B$4/100)</x:f>
        <x:v>49454.860865344184</x:v>
      </x:c>
      <x:c r="E16" s="78" t="n">
        <x:f>C16-D16</x:f>
        <x:v>5863.569716663755</x:v>
      </x:c>
      <x:c r="F16" s="78" t="n">
        <x:f>IF(A16=$B$5,0,MAX(0,B16-E16))</x:f>
        <x:v>983233.6475902199</x:v>
      </x:c>
    </x:row>
    <x:row r="17">
      <x:c r="A17" s="74" t="n">
        <x:v>4</x:v>
      </x:c>
      <x:c r="B17" s="78" t="n">
        <x:f>F16</x:f>
        <x:v>983233.6475902199</x:v>
      </x:c>
      <x:c r="C17" s="78" t="n">
        <x:f>$B$7</x:f>
        <x:v>55318.43058200794</x:v>
      </x:c>
      <x:c r="D17" s="78" t="n">
        <x:f>B17*($B$4/100)</x:f>
        <x:v>49161.682379510996</x:v>
      </x:c>
      <x:c r="E17" s="78" t="n">
        <x:f>C17-D17</x:f>
        <x:v>6156.748202496943</x:v>
      </x:c>
      <x:c r="F17" s="78" t="n">
        <x:f>IF(A17=$B$5,0,MAX(0,B17-E17))</x:f>
        <x:v>977076.899387723</x:v>
      </x:c>
    </x:row>
    <x:row r="18">
      <x:c r="A18" s="74" t="n">
        <x:v>5</x:v>
      </x:c>
      <x:c r="B18" s="78" t="n">
        <x:f>F17</x:f>
        <x:v>977076.899387723</x:v>
      </x:c>
      <x:c r="C18" s="78" t="n">
        <x:f>$B$7</x:f>
        <x:v>55318.43058200794</x:v>
      </x:c>
      <x:c r="D18" s="78" t="n">
        <x:f>B18*($B$4/100)</x:f>
        <x:v>48853.84496938615</x:v>
      </x:c>
      <x:c r="E18" s="78" t="n">
        <x:f>C18-D18</x:f>
        <x:v>6464.585612621791</x:v>
      </x:c>
      <x:c r="F18" s="78" t="n">
        <x:f>IF(A18=$B$5,0,MAX(0,B18-E18))</x:f>
        <x:v>970612.3137751012</x:v>
      </x:c>
    </x:row>
    <x:row r="19">
      <x:c r="A19" s="74" t="n">
        <x:v>6</x:v>
      </x:c>
      <x:c r="B19" s="78" t="n">
        <x:f>F18</x:f>
        <x:v>970612.3137751012</x:v>
      </x:c>
      <x:c r="C19" s="78" t="n">
        <x:f>$B$7</x:f>
        <x:v>55318.43058200794</x:v>
      </x:c>
      <x:c r="D19" s="78" t="n">
        <x:f>B19*($B$4/100)</x:f>
        <x:v>48530.61568875506</x:v>
      </x:c>
      <x:c r="E19" s="78" t="n">
        <x:f>C19-D19</x:f>
        <x:v>6787.814893252878</x:v>
      </x:c>
      <x:c r="F19" s="78" t="n">
        <x:f>IF(A19=$B$5,0,MAX(0,B19-E19))</x:f>
        <x:v>963824.4988818483</x:v>
      </x:c>
    </x:row>
    <x:row r="20">
      <x:c r="A20" s="74" t="n">
        <x:v>7</x:v>
      </x:c>
      <x:c r="B20" s="78" t="n">
        <x:f>F19</x:f>
        <x:v>963824.4988818483</x:v>
      </x:c>
      <x:c r="C20" s="78" t="n">
        <x:f>$B$7</x:f>
        <x:v>55318.43058200794</x:v>
      </x:c>
      <x:c r="D20" s="78" t="n">
        <x:f>B20*($B$4/100)</x:f>
        <x:v>48191.22494409242</x:v>
      </x:c>
      <x:c r="E20" s="78" t="n">
        <x:f>C20-D20</x:f>
        <x:v>7127.205637915518</x:v>
      </x:c>
      <x:c r="F20" s="78" t="n">
        <x:f>IF(A20=$B$5,0,MAX(0,B20-E20))</x:f>
        <x:v>956697.2932439328</x:v>
      </x:c>
    </x:row>
    <x:row r="21">
      <x:c r="A21" s="74" t="n">
        <x:v>8</x:v>
      </x:c>
      <x:c r="B21" s="78" t="n">
        <x:f>F20</x:f>
        <x:v>956697.2932439328</x:v>
      </x:c>
      <x:c r="C21" s="78" t="n">
        <x:f>$B$7</x:f>
        <x:v>55318.43058200794</x:v>
      </x:c>
      <x:c r="D21" s="78" t="n">
        <x:f>B21*($B$4/100)</x:f>
        <x:v>47834.86466219664</x:v>
      </x:c>
      <x:c r="E21" s="78" t="n">
        <x:f>C21-D21</x:f>
        <x:v>7483.565919811299</x:v>
      </x:c>
      <x:c r="F21" s="78" t="n">
        <x:f>IF(A21=$B$5,0,MAX(0,B21-E21))</x:f>
        <x:v>949213.7273241215</x:v>
      </x:c>
    </x:row>
    <x:row r="22">
      <x:c r="A22" s="74" t="n">
        <x:v>9</x:v>
      </x:c>
      <x:c r="B22" s="78" t="n">
        <x:f>F21</x:f>
        <x:v>949213.7273241215</x:v>
      </x:c>
      <x:c r="C22" s="78" t="n">
        <x:f>$B$7</x:f>
        <x:v>55318.43058200794</x:v>
      </x:c>
      <x:c r="D22" s="78" t="n">
        <x:f>B22*($B$4/100)</x:f>
        <x:v>47460.68636620608</x:v>
      </x:c>
      <x:c r="E22" s="78" t="n">
        <x:f>C22-D22</x:f>
        <x:v>7857.74421580186</x:v>
      </x:c>
      <x:c r="F22" s="78" t="n">
        <x:f>IF(A22=$B$5,0,MAX(0,B22-E22))</x:f>
        <x:v>941355.9831083197</x:v>
      </x:c>
    </x:row>
    <x:row r="23">
      <x:c r="A23" s="74" t="n">
        <x:v>10</x:v>
      </x:c>
      <x:c r="B23" s="78" t="n">
        <x:f>F22</x:f>
        <x:v>941355.9831083197</x:v>
      </x:c>
      <x:c r="C23" s="78" t="n">
        <x:f>$B$7</x:f>
        <x:v>55318.43058200794</x:v>
      </x:c>
      <x:c r="D23" s="78" t="n">
        <x:f>B23*($B$4/100)</x:f>
        <x:v>47067.79915541599</x:v>
      </x:c>
      <x:c r="E23" s="78" t="n">
        <x:f>C23-D23</x:f>
        <x:v>8250.63142659195</x:v>
      </x:c>
      <x:c r="F23" s="78" t="n">
        <x:f>IF(A23=$B$5,0,MAX(0,B23-E23))</x:f>
        <x:v>933105.3516817277</x:v>
      </x:c>
    </x:row>
    <x:row r="24">
      <x:c r="A24" s="74" t="n">
        <x:v>11</x:v>
      </x:c>
      <x:c r="B24" s="78" t="n">
        <x:f>F23</x:f>
        <x:v>933105.3516817277</x:v>
      </x:c>
      <x:c r="C24" s="78" t="n">
        <x:f>$B$7</x:f>
        <x:v>55318.43058200794</x:v>
      </x:c>
      <x:c r="D24" s="78" t="n">
        <x:f>B24*($B$4/100)</x:f>
        <x:v>46655.26758408639</x:v>
      </x:c>
      <x:c r="E24" s="78" t="n">
        <x:f>C24-D24</x:f>
        <x:v>8663.16299792155</x:v>
      </x:c>
      <x:c r="F24" s="78" t="n">
        <x:f>IF(A24=$B$5,0,MAX(0,B24-E24))</x:f>
        <x:v>924442.1886838061</x:v>
      </x:c>
    </x:row>
    <x:row r="25">
      <x:c r="A25" s="74" t="n">
        <x:v>12</x:v>
      </x:c>
      <x:c r="B25" s="78" t="n">
        <x:f>F24</x:f>
        <x:v>924442.1886838061</x:v>
      </x:c>
      <x:c r="C25" s="78" t="n">
        <x:f>$B$7</x:f>
        <x:v>55318.43058200794</x:v>
      </x:c>
      <x:c r="D25" s="78" t="n">
        <x:f>B25*($B$4/100)</x:f>
        <x:v>46222.10943419031</x:v>
      </x:c>
      <x:c r="E25" s="78" t="n">
        <x:f>C25-D25</x:f>
        <x:v>9096.32114781763</x:v>
      </x:c>
      <x:c r="F25" s="78" t="n">
        <x:f>IF(A25=$B$5,0,MAX(0,B25-E25))</x:f>
        <x:v>915345.8675359885</x:v>
      </x:c>
    </x:row>
    <x:row r="26">
      <x:c r="A26" s="74" t="n">
        <x:v>13</x:v>
      </x:c>
      <x:c r="B26" s="78" t="n">
        <x:f>F25</x:f>
        <x:v>915345.8675359885</x:v>
      </x:c>
      <x:c r="C26" s="78" t="n">
        <x:f>$B$7</x:f>
        <x:v>55318.43058200794</x:v>
      </x:c>
      <x:c r="D26" s="78" t="n">
        <x:f>B26*($B$4/100)</x:f>
        <x:v>45767.293376799425</x:v>
      </x:c>
      <x:c r="E26" s="78" t="n">
        <x:f>C26-D26</x:f>
        <x:v>9551.137205208513</x:v>
      </x:c>
      <x:c r="F26" s="78" t="n">
        <x:f>IF(A26=$B$5,0,MAX(0,B26-E26))</x:f>
        <x:v>905794.7303307799</x:v>
      </x:c>
    </x:row>
    <x:row r="27">
      <x:c r="A27" s="74" t="n">
        <x:v>14</x:v>
      </x:c>
      <x:c r="B27" s="78" t="n">
        <x:f>F26</x:f>
        <x:v>905794.7303307799</x:v>
      </x:c>
      <x:c r="C27" s="78" t="n">
        <x:f>$B$7</x:f>
        <x:v>55318.43058200794</x:v>
      </x:c>
      <x:c r="D27" s="78" t="n">
        <x:f>B27*($B$4/100)</x:f>
        <x:v>45289.736516539</x:v>
      </x:c>
      <x:c r="E27" s="78" t="n">
        <x:f>C27-D27</x:f>
        <x:v>10028.694065468939</x:v>
      </x:c>
      <x:c r="F27" s="78" t="n">
        <x:f>IF(A27=$B$5,0,MAX(0,B27-E27))</x:f>
        <x:v>895766.036265311</x:v>
      </x:c>
    </x:row>
    <x:row r="28">
      <x:c r="A28" s="74" t="n">
        <x:v>15</x:v>
      </x:c>
      <x:c r="B28" s="78" t="n">
        <x:f>F27</x:f>
        <x:v>895766.036265311</x:v>
      </x:c>
      <x:c r="C28" s="78" t="n">
        <x:f>$B$7</x:f>
        <x:v>55318.43058200794</x:v>
      </x:c>
      <x:c r="D28" s="78" t="n">
        <x:f>B28*($B$4/100)</x:f>
        <x:v>44788.30181326555</x:v>
      </x:c>
      <x:c r="E28" s="78" t="n">
        <x:f>C28-D28</x:f>
        <x:v>10530.12876874239</x:v>
      </x:c>
      <x:c r="F28" s="78" t="n">
        <x:f>IF(A28=$B$5,0,MAX(0,B28-E28))</x:f>
        <x:v>885235.9074965685</x:v>
      </x:c>
    </x:row>
    <x:row r="29">
      <x:c r="A29" s="74" t="n">
        <x:v>16</x:v>
      </x:c>
      <x:c r="B29" s="78" t="n">
        <x:f>F28</x:f>
        <x:v>885235.9074965685</x:v>
      </x:c>
      <x:c r="C29" s="78" t="n">
        <x:f>$B$7</x:f>
        <x:v>55318.43058200794</x:v>
      </x:c>
      <x:c r="D29" s="78" t="n">
        <x:f>B29*($B$4/100)</x:f>
        <x:v>44261.79537482843</x:v>
      </x:c>
      <x:c r="E29" s="78" t="n">
        <x:f>C29-D29</x:f>
        <x:v>11056.635207179512</x:v>
      </x:c>
      <x:c r="F29" s="78" t="n">
        <x:f>IF(A29=$B$5,0,MAX(0,B29-E29))</x:f>
        <x:v>874179.272289389</x:v>
      </x:c>
    </x:row>
    <x:row r="30">
      <x:c r="A30" s="74" t="n">
        <x:v>17</x:v>
      </x:c>
      <x:c r="B30" s="78" t="n">
        <x:f>F29</x:f>
        <x:v>874179.272289389</x:v>
      </x:c>
      <x:c r="C30" s="78" t="n">
        <x:f>$B$7</x:f>
        <x:v>55318.43058200794</x:v>
      </x:c>
      <x:c r="D30" s="78" t="n">
        <x:f>B30*($B$4/100)</x:f>
        <x:v>43708.96361446945</x:v>
      </x:c>
      <x:c r="E30" s="78" t="n">
        <x:f>C30-D30</x:f>
        <x:v>11609.466967538487</x:v>
      </x:c>
      <x:c r="F30" s="78" t="n">
        <x:f>IF(A30=$B$5,0,MAX(0,B30-E30))</x:f>
        <x:v>862569.8053218506</x:v>
      </x:c>
    </x:row>
    <x:row r="31">
      <x:c r="A31" s="74" t="n">
        <x:v>18</x:v>
      </x:c>
      <x:c r="B31" s="78" t="n">
        <x:f>F30</x:f>
        <x:v>862569.8053218506</x:v>
      </x:c>
      <x:c r="C31" s="78" t="n">
        <x:f>$B$7</x:f>
        <x:v>55318.43058200794</x:v>
      </x:c>
      <x:c r="D31" s="78" t="n">
        <x:f>B31*($B$4/100)</x:f>
        <x:v>43128.49026609253</x:v>
      </x:c>
      <x:c r="E31" s="78" t="n">
        <x:f>C31-D31</x:f>
        <x:v>12189.94031591541</x:v>
      </x:c>
      <x:c r="F31" s="78" t="n">
        <x:f>IF(A31=$B$5,0,MAX(0,B31-E31))</x:f>
        <x:v>850379.8650059352</x:v>
      </x:c>
    </x:row>
    <x:row r="32">
      <x:c r="A32" s="74" t="n">
        <x:v>19</x:v>
      </x:c>
      <x:c r="B32" s="78" t="n">
        <x:f>F31</x:f>
        <x:v>850379.8650059352</x:v>
      </x:c>
      <x:c r="C32" s="78" t="n">
        <x:f>$B$7</x:f>
        <x:v>55318.43058200794</x:v>
      </x:c>
      <x:c r="D32" s="78" t="n">
        <x:f>B32*($B$4/100)</x:f>
        <x:v>42518.993250296764</x:v>
      </x:c>
      <x:c r="E32" s="78" t="n">
        <x:f>C32-D32</x:f>
        <x:v>12799.437331711175</x:v>
      </x:c>
      <x:c r="F32" s="78" t="n">
        <x:f>IF(A32=$B$5,0,MAX(0,B32-E32))</x:f>
        <x:v>837580.427674224</x:v>
      </x:c>
    </x:row>
    <x:row r="33">
      <x:c r="A33" s="74" t="n">
        <x:v>20</x:v>
      </x:c>
      <x:c r="B33" s="78" t="n">
        <x:f>F32</x:f>
        <x:v>837580.427674224</x:v>
      </x:c>
      <x:c r="C33" s="78" t="n">
        <x:f>$B$7</x:f>
        <x:v>55318.43058200794</x:v>
      </x:c>
      <x:c r="D33" s="78" t="n">
        <x:f>B33*($B$4/100)</x:f>
        <x:v>41879.0213837112</x:v>
      </x:c>
      <x:c r="E33" s="78" t="n">
        <x:f>C33-D33</x:f>
        <x:v>13439.409198296737</x:v>
      </x:c>
      <x:c r="F33" s="78" t="n">
        <x:f>IF(A33=$B$5,0,MAX(0,B33-E33))</x:f>
        <x:v>824141.0184759273</x:v>
      </x:c>
    </x:row>
    <x:row r="34">
      <x:c r="A34" s="74" t="n">
        <x:v>21</x:v>
      </x:c>
      <x:c r="B34" s="78" t="n">
        <x:f>F33</x:f>
        <x:v>824141.0184759273</x:v>
      </x:c>
      <x:c r="C34" s="78" t="n">
        <x:f>$B$7</x:f>
        <x:v>55318.43058200794</x:v>
      </x:c>
      <x:c r="D34" s="78" t="n">
        <x:f>B34*($B$4/100)</x:f>
        <x:v>41207.05092379637</x:v>
      </x:c>
      <x:c r="E34" s="78" t="n">
        <x:f>C34-D34</x:f>
        <x:v>14111.379658211568</x:v>
      </x:c>
      <x:c r="F34" s="78" t="n">
        <x:f>IF(A34=$B$5,0,MAX(0,B34-E34))</x:f>
        <x:v>810029.6388177157</x:v>
      </x:c>
    </x:row>
    <x:row r="35">
      <x:c r="A35" s="74" t="n">
        <x:v>22</x:v>
      </x:c>
      <x:c r="B35" s="78" t="n">
        <x:f>F34</x:f>
        <x:v>810029.6388177157</x:v>
      </x:c>
      <x:c r="C35" s="78" t="n">
        <x:f>$B$7</x:f>
        <x:v>55318.43058200794</x:v>
      </x:c>
      <x:c r="D35" s="78" t="n">
        <x:f>B35*($B$4/100)</x:f>
        <x:v>40501.48194088579</x:v>
      </x:c>
      <x:c r="E35" s="78" t="n">
        <x:f>C35-D35</x:f>
        <x:v>14816.948641122151</x:v>
      </x:c>
      <x:c r="F35" s="78" t="n">
        <x:f>IF(A35=$B$5,0,MAX(0,B35-E35))</x:f>
        <x:v>795212.6901765935</x:v>
      </x:c>
    </x:row>
    <x:row r="36">
      <x:c r="A36" s="74" t="n">
        <x:v>23</x:v>
      </x:c>
      <x:c r="B36" s="78" t="n">
        <x:f>F35</x:f>
        <x:v>795212.6901765935</x:v>
      </x:c>
      <x:c r="C36" s="78" t="n">
        <x:f>$B$7</x:f>
        <x:v>55318.43058200794</x:v>
      </x:c>
      <x:c r="D36" s="78" t="n">
        <x:f>B36*($B$4/100)</x:f>
        <x:v>39760.63450882968</x:v>
      </x:c>
      <x:c r="E36" s="78" t="n">
        <x:f>C36-D36</x:f>
        <x:v>15557.796073178259</x:v>
      </x:c>
      <x:c r="F36" s="78" t="n">
        <x:f>IF(A36=$B$5,0,MAX(0,B36-E36))</x:f>
        <x:v>779654.8941034152</x:v>
      </x:c>
    </x:row>
    <x:row r="37">
      <x:c r="A37" s="74" t="n">
        <x:v>24</x:v>
      </x:c>
      <x:c r="B37" s="78" t="n">
        <x:f>F36</x:f>
        <x:v>779654.8941034152</x:v>
      </x:c>
      <x:c r="C37" s="78" t="n">
        <x:f>$B$7</x:f>
        <x:v>55318.43058200794</x:v>
      </x:c>
      <x:c r="D37" s="78" t="n">
        <x:f>B37*($B$4/100)</x:f>
        <x:v>38982.744705170764</x:v>
      </x:c>
      <x:c r="E37" s="78" t="n">
        <x:f>C37-D37</x:f>
        <x:v>16335.685876837175</x:v>
      </x:c>
      <x:c r="F37" s="78" t="n">
        <x:f>IF(A37=$B$5,0,MAX(0,B37-E37))</x:f>
        <x:v>763319.2082265781</x:v>
      </x:c>
    </x:row>
    <x:row r="38">
      <x:c r="A38" s="74" t="n">
        <x:v>25</x:v>
      </x:c>
      <x:c r="B38" s="78" t="n">
        <x:f>F37</x:f>
        <x:v>763319.2082265781</x:v>
      </x:c>
      <x:c r="C38" s="78" t="n">
        <x:f>$B$7</x:f>
        <x:v>55318.43058200794</x:v>
      </x:c>
      <x:c r="D38" s="78" t="n">
        <x:f>B38*($B$4/100)</x:f>
        <x:v>38165.9604113289</x:v>
      </x:c>
      <x:c r="E38" s="78" t="n">
        <x:f>C38-D38</x:f>
        <x:v>17152.470170679037</x:v>
      </x:c>
      <x:c r="F38" s="78" t="n">
        <x:f>IF(A38=$B$5,0,MAX(0,B38-E38))</x:f>
        <x:v>746166.738055899</x:v>
      </x:c>
    </x:row>
    <x:row r="39">
      <x:c r="A39" s="74" t="n">
        <x:v>26</x:v>
      </x:c>
      <x:c r="B39" s="78" t="n">
        <x:f>F38</x:f>
        <x:v>746166.738055899</x:v>
      </x:c>
      <x:c r="C39" s="78" t="n">
        <x:f>$B$7</x:f>
        <x:v>55318.43058200794</x:v>
      </x:c>
      <x:c r="D39" s="78" t="n">
        <x:f>B39*($B$4/100)</x:f>
        <x:v>37308.33690279495</x:v>
      </x:c>
      <x:c r="E39" s="78" t="n">
        <x:f>C39-D39</x:f>
        <x:v>18010.093679212987</x:v>
      </x:c>
      <x:c r="F39" s="78" t="n">
        <x:f>IF(A39=$B$5,0,MAX(0,B39-E39))</x:f>
        <x:v>728156.6443766861</x:v>
      </x:c>
    </x:row>
    <x:row r="40">
      <x:c r="A40" s="74" t="n">
        <x:v>27</x:v>
      </x:c>
      <x:c r="B40" s="78" t="n">
        <x:f>F39</x:f>
        <x:v>728156.6443766861</x:v>
      </x:c>
      <x:c r="C40" s="78" t="n">
        <x:f>$B$7</x:f>
        <x:v>55318.43058200794</x:v>
      </x:c>
      <x:c r="D40" s="78" t="n">
        <x:f>B40*($B$4/100)</x:f>
        <x:v>36407.83221883431</x:v>
      </x:c>
      <x:c r="E40" s="78" t="n">
        <x:f>C40-D40</x:f>
        <x:v>18910.59836317363</x:v>
      </x:c>
      <x:c r="F40" s="78" t="n">
        <x:f>IF(A40=$B$5,0,MAX(0,B40-E40))</x:f>
        <x:v>709246.0460135124</x:v>
      </x:c>
    </x:row>
    <x:row r="41">
      <x:c r="A41" s="74" t="n">
        <x:v>28</x:v>
      </x:c>
      <x:c r="B41" s="78" t="n">
        <x:f>F40</x:f>
        <x:v>709246.0460135124</x:v>
      </x:c>
      <x:c r="C41" s="78" t="n">
        <x:f>$B$7</x:f>
        <x:v>55318.43058200794</x:v>
      </x:c>
      <x:c r="D41" s="78" t="n">
        <x:f>B41*($B$4/100)</x:f>
        <x:v>35462.30230067562</x:v>
      </x:c>
      <x:c r="E41" s="78" t="n">
        <x:f>C41-D41</x:f>
        <x:v>19856.12828133232</x:v>
      </x:c>
      <x:c r="F41" s="78" t="n">
        <x:f>IF(A41=$B$5,0,MAX(0,B41-E41))</x:f>
        <x:v>689389.9177321801</x:v>
      </x:c>
    </x:row>
    <x:row r="42">
      <x:c r="A42" s="74" t="n">
        <x:v>29</x:v>
      </x:c>
      <x:c r="B42" s="78" t="n">
        <x:f>F41</x:f>
        <x:v>689389.9177321801</x:v>
      </x:c>
      <x:c r="C42" s="78" t="n">
        <x:f>$B$7</x:f>
        <x:v>55318.43058200794</x:v>
      </x:c>
      <x:c r="D42" s="78" t="n">
        <x:f>B42*($B$4/100)</x:f>
        <x:v>34469.49588660901</x:v>
      </x:c>
      <x:c r="E42" s="78" t="n">
        <x:f>C42-D42</x:f>
        <x:v>20848.93469539893</x:v>
      </x:c>
      <x:c r="F42" s="78" t="n">
        <x:f>IF(A42=$B$5,0,MAX(0,B42-E42))</x:f>
        <x:v>668540.9830367812</x:v>
      </x:c>
    </x:row>
    <x:row r="43">
      <x:c r="A43" s="74" t="n">
        <x:v>30</x:v>
      </x:c>
      <x:c r="B43" s="78" t="n">
        <x:f>F42</x:f>
        <x:v>668540.9830367812</x:v>
      </x:c>
      <x:c r="C43" s="78" t="n">
        <x:f>$B$7</x:f>
        <x:v>55318.43058200794</x:v>
      </x:c>
      <x:c r="D43" s="78" t="n">
        <x:f>B43*($B$4/100)</x:f>
        <x:v>33427.04915183906</x:v>
      </x:c>
      <x:c r="E43" s="78" t="n">
        <x:f>C43-D43</x:f>
        <x:v>21891.381430168876</x:v>
      </x:c>
      <x:c r="F43" s="78" t="n">
        <x:f>IF(A43=$B$5,0,MAX(0,B43-E43))</x:f>
        <x:v>646649.6016066123</x:v>
      </x:c>
    </x:row>
    <x:row r="44">
      <x:c r="A44" s="74" t="n">
        <x:v>31</x:v>
      </x:c>
      <x:c r="B44" s="78" t="n">
        <x:f>F43</x:f>
        <x:v>646649.6016066123</x:v>
      </x:c>
      <x:c r="C44" s="78" t="n">
        <x:f>$B$7</x:f>
        <x:v>55318.43058200794</x:v>
      </x:c>
      <x:c r="D44" s="78" t="n">
        <x:f>B44*($B$4/100)</x:f>
        <x:v>32332.480080330617</x:v>
      </x:c>
      <x:c r="E44" s="78" t="n">
        <x:f>C44-D44</x:f>
        <x:v>22985.950501677322</x:v>
      </x:c>
      <x:c r="F44" s="78" t="n">
        <x:f>IF(A44=$B$5,0,MAX(0,B44-E44))</x:f>
        <x:v>623663.651104935</x:v>
      </x:c>
    </x:row>
    <x:row r="45">
      <x:c r="A45" s="74" t="n">
        <x:v>32</x:v>
      </x:c>
      <x:c r="B45" s="78" t="n">
        <x:f>F44</x:f>
        <x:v>623663.651104935</x:v>
      </x:c>
      <x:c r="C45" s="78" t="n">
        <x:f>$B$7</x:f>
        <x:v>55318.43058200794</x:v>
      </x:c>
      <x:c r="D45" s="78" t="n">
        <x:f>B45*($B$4/100)</x:f>
        <x:v>31183.18255524675</x:v>
      </x:c>
      <x:c r="E45" s="78" t="n">
        <x:f>C45-D45</x:f>
        <x:v>24135.24802676119</x:v>
      </x:c>
      <x:c r="F45" s="78" t="n">
        <x:f>IF(A45=$B$5,0,MAX(0,B45-E45))</x:f>
        <x:v>599528.4030781738</x:v>
      </x:c>
    </x:row>
    <x:row r="46">
      <x:c r="A46" s="74" t="n">
        <x:v>33</x:v>
      </x:c>
      <x:c r="B46" s="78" t="n">
        <x:f>F45</x:f>
        <x:v>599528.4030781738</x:v>
      </x:c>
      <x:c r="C46" s="78" t="n">
        <x:f>$B$7</x:f>
        <x:v>55318.43058200794</x:v>
      </x:c>
      <x:c r="D46" s="78" t="n">
        <x:f>B46*($B$4/100)</x:f>
        <x:v>29976.42015390869</x:v>
      </x:c>
      <x:c r="E46" s="78" t="n">
        <x:f>C46-D46</x:f>
        <x:v>25342.01042809925</x:v>
      </x:c>
      <x:c r="F46" s="78" t="n">
        <x:f>IF(A46=$B$5,0,MAX(0,B46-E46))</x:f>
        <x:v>574186.3926500746</x:v>
      </x:c>
    </x:row>
    <x:row r="47">
      <x:c r="A47" s="74" t="n">
        <x:v>34</x:v>
      </x:c>
      <x:c r="B47" s="78" t="n">
        <x:f>F46</x:f>
        <x:v>574186.3926500746</x:v>
      </x:c>
      <x:c r="C47" s="78" t="n">
        <x:f>$B$7</x:f>
        <x:v>55318.43058200794</x:v>
      </x:c>
      <x:c r="D47" s="78" t="n">
        <x:f>B47*($B$4/100)</x:f>
        <x:v>28709.319632503728</x:v>
      </x:c>
      <x:c r="E47" s="78" t="n">
        <x:f>C47-D47</x:f>
        <x:v>26609.11094950421</x:v>
      </x:c>
      <x:c r="F47" s="78" t="n">
        <x:f>IF(A47=$B$5,0,MAX(0,B47-E47))</x:f>
        <x:v>547577.2817005704</x:v>
      </x:c>
    </x:row>
    <x:row r="48">
      <x:c r="A48" s="74" t="n">
        <x:v>35</x:v>
      </x:c>
      <x:c r="B48" s="78" t="n">
        <x:f>F47</x:f>
        <x:v>547577.2817005704</x:v>
      </x:c>
      <x:c r="C48" s="78" t="n">
        <x:f>$B$7</x:f>
        <x:v>55318.43058200794</x:v>
      </x:c>
      <x:c r="D48" s="78" t="n">
        <x:f>B48*($B$4/100)</x:f>
        <x:v>27378.86408502852</x:v>
      </x:c>
      <x:c r="E48" s="78" t="n">
        <x:f>C48-D48</x:f>
        <x:v>27939.56649697942</x:v>
      </x:c>
      <x:c r="F48" s="78" t="n">
        <x:f>IF(A48=$B$5,0,MAX(0,B48-E48))</x:f>
        <x:v>519637.7152035909</x:v>
      </x:c>
    </x:row>
    <x:row r="49">
      <x:c r="A49" s="74" t="n">
        <x:v>36</x:v>
      </x:c>
      <x:c r="B49" s="78" t="n">
        <x:f>F48</x:f>
        <x:v>519637.7152035909</x:v>
      </x:c>
      <x:c r="C49" s="78" t="n">
        <x:f>$B$7</x:f>
        <x:v>55318.43058200794</x:v>
      </x:c>
      <x:c r="D49" s="78" t="n">
        <x:f>B49*($B$4/100)</x:f>
        <x:v>25981.885760179546</x:v>
      </x:c>
      <x:c r="E49" s="78" t="n">
        <x:f>C49-D49</x:f>
        <x:v>29336.544821828393</x:v>
      </x:c>
      <x:c r="F49" s="78" t="n">
        <x:f>IF(A49=$B$5,0,MAX(0,B49-E49))</x:f>
        <x:v>490301.17038176255</x:v>
      </x:c>
    </x:row>
    <x:row r="50">
      <x:c r="A50" s="74" t="n">
        <x:v>37</x:v>
      </x:c>
      <x:c r="B50" s="78" t="n">
        <x:f>F49</x:f>
        <x:v>490301.17038176255</x:v>
      </x:c>
      <x:c r="C50" s="78" t="n">
        <x:f>$B$7</x:f>
        <x:v>55318.43058200794</x:v>
      </x:c>
      <x:c r="D50" s="78" t="n">
        <x:f>B50*($B$4/100)</x:f>
        <x:v>24515.05851908813</x:v>
      </x:c>
      <x:c r="E50" s="78" t="n">
        <x:f>C50-D50</x:f>
        <x:v>30803.37206291981</x:v>
      </x:c>
      <x:c r="F50" s="78" t="n">
        <x:f>IF(A50=$B$5,0,MAX(0,B50-E50))</x:f>
        <x:v>459497.7983188427</x:v>
      </x:c>
    </x:row>
    <x:row r="51">
      <x:c r="A51" s="74" t="n">
        <x:v>38</x:v>
      </x:c>
      <x:c r="B51" s="78" t="n">
        <x:f>F50</x:f>
        <x:v>459497.7983188427</x:v>
      </x:c>
      <x:c r="C51" s="78" t="n">
        <x:f>$B$7</x:f>
        <x:v>55318.43058200794</x:v>
      </x:c>
      <x:c r="D51" s="78" t="n">
        <x:f>B51*($B$4/100)</x:f>
        <x:v>22974.889915942138</x:v>
      </x:c>
      <x:c r="E51" s="78" t="n">
        <x:f>C51-D51</x:f>
        <x:v>32343.5406660658</x:v>
      </x:c>
      <x:c r="F51" s="78" t="n">
        <x:f>IF(A51=$B$5,0,MAX(0,B51-E51))</x:f>
        <x:v>427154.2576527769</x:v>
      </x:c>
    </x:row>
    <x:row r="52">
      <x:c r="A52" s="74" t="n">
        <x:v>39</x:v>
      </x:c>
      <x:c r="B52" s="78" t="n">
        <x:f>F51</x:f>
        <x:v>427154.2576527769</x:v>
      </x:c>
      <x:c r="C52" s="78" t="n">
        <x:f>$B$7</x:f>
        <x:v>55318.43058200794</x:v>
      </x:c>
      <x:c r="D52" s="78" t="n">
        <x:f>B52*($B$4/100)</x:f>
        <x:v>21357.712882638847</x:v>
      </x:c>
      <x:c r="E52" s="78" t="n">
        <x:f>C52-D52</x:f>
        <x:v>33960.717699369095</x:v>
      </x:c>
      <x:c r="F52" s="78" t="n">
        <x:f>IF(A52=$B$5,0,MAX(0,B52-E52))</x:f>
        <x:v>393193.53995340783</x:v>
      </x:c>
    </x:row>
    <x:row r="53">
      <x:c r="A53" s="74" t="n">
        <x:v>40</x:v>
      </x:c>
      <x:c r="B53" s="78" t="n">
        <x:f>F52</x:f>
        <x:v>393193.53995340783</x:v>
      </x:c>
      <x:c r="C53" s="78" t="n">
        <x:f>$B$7</x:f>
        <x:v>55318.43058200794</x:v>
      </x:c>
      <x:c r="D53" s="78" t="n">
        <x:f>B53*($B$4/100)</x:f>
        <x:v>19659.67699767039</x:v>
      </x:c>
      <x:c r="E53" s="78" t="n">
        <x:f>C53-D53</x:f>
        <x:v>35658.75358433755</x:v>
      </x:c>
      <x:c r="F53" s="78" t="n">
        <x:f>IF(A53=$B$5,0,MAX(0,B53-E53))</x:f>
        <x:v>357534.7863690703</x:v>
      </x:c>
    </x:row>
    <x:row r="54">
      <x:c r="A54" s="74" t="n">
        <x:v>41</x:v>
      </x:c>
      <x:c r="B54" s="78" t="n">
        <x:f>F53</x:f>
        <x:v>357534.7863690703</x:v>
      </x:c>
      <x:c r="C54" s="78" t="n">
        <x:f>$B$7</x:f>
        <x:v>55318.43058200794</x:v>
      </x:c>
      <x:c r="D54" s="78" t="n">
        <x:f>B54*($B$4/100)</x:f>
        <x:v>17876.739318453514</x:v>
      </x:c>
      <x:c r="E54" s="78" t="n">
        <x:f>C54-D54</x:f>
        <x:v>37441.69126355443</x:v>
      </x:c>
      <x:c r="F54" s="78" t="n">
        <x:f>IF(A54=$B$5,0,MAX(0,B54-E54))</x:f>
        <x:v>320093.09510551585</x:v>
      </x:c>
    </x:row>
    <x:row r="55">
      <x:c r="A55" s="74" t="n">
        <x:v>42</x:v>
      </x:c>
      <x:c r="B55" s="78" t="n">
        <x:f>F54</x:f>
        <x:v>320093.09510551585</x:v>
      </x:c>
      <x:c r="C55" s="78" t="n">
        <x:f>$B$7</x:f>
        <x:v>55318.43058200794</x:v>
      </x:c>
      <x:c r="D55" s="78" t="n">
        <x:f>B55*($B$4/100)</x:f>
        <x:v>16004.654755275793</x:v>
      </x:c>
      <x:c r="E55" s="78" t="n">
        <x:f>C55-D55</x:f>
        <x:v>39313.77582673215</x:v>
      </x:c>
      <x:c r="F55" s="78" t="n">
        <x:f>IF(A55=$B$5,0,MAX(0,B55-E55))</x:f>
        <x:v>280779.3192787837</x:v>
      </x:c>
    </x:row>
    <x:row r="56">
      <x:c r="A56" s="74" t="n">
        <x:v>43</x:v>
      </x:c>
      <x:c r="B56" s="78" t="n">
        <x:f>F55</x:f>
        <x:v>280779.3192787837</x:v>
      </x:c>
      <x:c r="C56" s="78" t="n">
        <x:f>$B$7</x:f>
        <x:v>55318.43058200794</x:v>
      </x:c>
      <x:c r="D56" s="78" t="n">
        <x:f>B56*($B$4/100)</x:f>
        <x:v>14038.965963939185</x:v>
      </x:c>
      <x:c r="E56" s="78" t="n">
        <x:f>C56-D56</x:f>
        <x:v>41279.464618068756</x:v>
      </x:c>
      <x:c r="F56" s="78" t="n">
        <x:f>IF(A56=$B$5,0,MAX(0,B56-E56))</x:f>
        <x:v>239499.85466071492</x:v>
      </x:c>
    </x:row>
    <x:row r="57">
      <x:c r="A57" s="74" t="n">
        <x:v>44</x:v>
      </x:c>
      <x:c r="B57" s="78" t="n">
        <x:f>F56</x:f>
        <x:v>239499.85466071492</x:v>
      </x:c>
      <x:c r="C57" s="78" t="n">
        <x:f>$B$7</x:f>
        <x:v>55318.43058200794</x:v>
      </x:c>
      <x:c r="D57" s="78" t="n">
        <x:f>B57*($B$4/100)</x:f>
        <x:v>11974.992733035746</x:v>
      </x:c>
      <x:c r="E57" s="78" t="n">
        <x:f>C57-D57</x:f>
        <x:v>43343.43784897219</x:v>
      </x:c>
      <x:c r="F57" s="78" t="n">
        <x:f>IF(A57=$B$5,0,MAX(0,B57-E57))</x:f>
        <x:v>196156.41681174273</x:v>
      </x:c>
    </x:row>
    <x:row r="58">
      <x:c r="A58" s="74" t="n">
        <x:v>45</x:v>
      </x:c>
      <x:c r="B58" s="78" t="n">
        <x:f>F57</x:f>
        <x:v>196156.41681174273</x:v>
      </x:c>
      <x:c r="C58" s="78" t="n">
        <x:f>$B$7</x:f>
        <x:v>55318.43058200794</x:v>
      </x:c>
      <x:c r="D58" s="78" t="n">
        <x:f>B58*($B$4/100)</x:f>
        <x:v>9807.820840587137</x:v>
      </x:c>
      <x:c r="E58" s="78" t="n">
        <x:f>C58-D58</x:f>
        <x:v>45510.609741420805</x:v>
      </x:c>
      <x:c r="F58" s="78" t="n">
        <x:f>IF(A58=$B$5,0,MAX(0,B58-E58))</x:f>
        <x:v>150645.80707032193</x:v>
      </x:c>
    </x:row>
    <x:row r="59">
      <x:c r="A59" s="74" t="n">
        <x:v>46</x:v>
      </x:c>
      <x:c r="B59" s="78" t="n">
        <x:f>F58</x:f>
        <x:v>150645.80707032193</x:v>
      </x:c>
      <x:c r="C59" s="78" t="n">
        <x:f>$B$7</x:f>
        <x:v>55318.43058200794</x:v>
      </x:c>
      <x:c r="D59" s="78" t="n">
        <x:f>B59*($B$4/100)</x:f>
        <x:v>7532.290353516097</x:v>
      </x:c>
      <x:c r="E59" s="78" t="n">
        <x:f>C59-D59</x:f>
        <x:v>47786.140228491844</x:v>
      </x:c>
      <x:c r="F59" s="78" t="n">
        <x:f>IF(A59=$B$5,0,MAX(0,B59-E59))</x:f>
        <x:v>102859.66684183008</x:v>
      </x:c>
    </x:row>
    <x:row r="60">
      <x:c r="A60" s="74" t="n">
        <x:v>47</x:v>
      </x:c>
      <x:c r="B60" s="78" t="n">
        <x:f>F59</x:f>
        <x:v>102859.66684183008</x:v>
      </x:c>
      <x:c r="C60" s="78" t="n">
        <x:f>$B$7</x:f>
        <x:v>55318.43058200794</x:v>
      </x:c>
      <x:c r="D60" s="78" t="n">
        <x:f>B60*($B$4/100)</x:f>
        <x:v>5142.983342091505</x:v>
      </x:c>
      <x:c r="E60" s="78" t="n">
        <x:f>C60-D60</x:f>
        <x:v>50175.44723991644</x:v>
      </x:c>
      <x:c r="F60" s="78" t="n">
        <x:f>IF(A60=$B$5,0,MAX(0,B60-E60))</x:f>
        <x:v>52684.219601913646</x:v>
      </x:c>
    </x:row>
    <x:row r="61">
      <x:c r="A61" s="75" t="n">
        <x:v>48</x:v>
      </x:c>
      <x:c r="B61" s="79" t="n">
        <x:f>F60</x:f>
        <x:v>52684.219601913646</x:v>
      </x:c>
      <x:c r="C61" s="79" t="n">
        <x:f>$B$7</x:f>
        <x:v>55318.43058200794</x:v>
      </x:c>
      <x:c r="D61" s="79" t="n">
        <x:f>B61*($B$4/100)</x:f>
        <x:v>2634.2109800956823</x:v>
      </x:c>
      <x:c r="E61" s="79" t="n">
        <x:f>C61-D61</x:f>
        <x:v>52684.21960191226</x:v>
      </x:c>
      <x:c r="F61" s="79" t="n">
        <x:f>IF(A61=$B$5,0,MAX(0,B61-E61))</x:f>
        <x:v>0</x:v>
      </x:c>
    </x:row>
  </x:sheetData>
  <x:mergeCells>
    <x:mergeCell ref="A1:F1"/>
    <x:mergeCell ref="A11:F11"/>
  </x:mergeCells>
  <x:conditionalFormatting sqref="A14:F61">
    <x:cfRule type="expression" dxfId="7" priority="1">
      <x:formula>MOD($A14,2)=0</x:formula>
    </x:cfRule>
  </x:conditionalFormatting>
  <x:pageMargins left="0.7" right="0.7" top="0.75" bottom="0.75" header="0.3" footer="0.3"/>
</x:worksheet>
</file>
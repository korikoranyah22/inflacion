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FIAT" sheetId="1" r:id="rId5"/>
  </sheets>
  <definedNames/>
  <calcPr/>
</workbook>
</file>

<file path=xl/sharedStrings.xml><?xml version="1.0" encoding="utf-8"?>
<sst xmlns="http://schemas.openxmlformats.org/spreadsheetml/2006/main" count="35" uniqueCount="27">
  <si>
    <t>Total y %</t>
  </si>
  <si>
    <t>Montos</t>
  </si>
  <si>
    <t>Alicuota(sin seguros ni gastos administrativos)</t>
  </si>
  <si>
    <t>Total Alicuotas pagas</t>
  </si>
  <si>
    <t>% del 70</t>
  </si>
  <si>
    <t>% del movil</t>
  </si>
  <si>
    <t>Valor del plan (según % pago en base a la cuota plana)</t>
  </si>
  <si>
    <t>2% del costo de adjudicación</t>
  </si>
  <si>
    <t>IVA del 2%</t>
  </si>
  <si>
    <t>(Cuuota plana)</t>
  </si>
  <si>
    <t>Diferencia de la cuota vs el valor de mercado</t>
  </si>
  <si>
    <t>Total que te va a cagar FIAT(33 cuotas faltantes)</t>
  </si>
  <si>
    <t>(esto es una simulación con el valor de mercado)</t>
  </si>
  <si>
    <t>Monto de la parte 70/30</t>
  </si>
  <si>
    <t>Parte paga(70% del valor del auto menos el total adeudado)</t>
  </si>
  <si>
    <t>Total adeudado</t>
  </si>
  <si>
    <t>(Consultado con FIAT, hay constancia)</t>
  </si>
  <si>
    <t>Terminás pagando</t>
  </si>
  <si>
    <t>Valor de venta</t>
  </si>
  <si>
    <t>Valor estimado del plan (valor que figura en el cupón)</t>
  </si>
  <si>
    <t>deuda+valor de venta del plan+30% del vehículo(tomando en cuenta que hay que pagar el 30% a FIAT, sin importar si se toma el valor de mercado como referencia)+2%+IVA+FIAT(la parte que te caga fiat con la diferencia del valor considerado)</t>
  </si>
  <si>
    <t>Valor estimado del plan (valor de mercado del vehículo)</t>
  </si>
  <si>
    <t>60% de descuento sobre el valor en el cupon</t>
  </si>
  <si>
    <t>60% de descuento sobre el valor de mercado</t>
  </si>
  <si>
    <t>(El monto real del vehículo que terminás pagando comprando este plan)</t>
  </si>
  <si>
    <t>Monto total para retirar el 0KM(plan+30%+2%+IVA)</t>
  </si>
  <si>
    <t>(adjudicación aparte)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</si>
</sst>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10.0"/>
      <color theme="1"/>
      <name val="Aptos Narrow"/>
    </font>
    <font>
      <b/>
      <sz val="10.0"/>
      <color theme="1"/>
      <name val="Aptos Narrow"/>
    </font>
    <font>
      <b/>
      <sz val="26.0"/>
      <color theme="1"/>
      <name val="Aptos Narrow"/>
    </font>
    <font>
      <b/>
      <sz val="12.0"/>
      <color theme="1"/>
      <name val="Aptos Narrow"/>
    </font>
    <font/>
    <font>
      <sz val="16.0"/>
      <color theme="0"/>
      <name val="Aptos Narrow"/>
    </font>
    <font>
      <b/>
      <sz val="12.0"/>
      <color theme="0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  <fill>
      <patternFill patternType="solid">
        <fgColor rgb="FFFFFF00"/>
        <bgColor rgb="FFFFFF00"/>
      </patternFill>
    </fill>
    <fill>
      <patternFill patternType="solid">
        <fgColor rgb="FF074F6A"/>
        <bgColor rgb="FF074F6A"/>
      </patternFill>
    </fill>
    <fill>
      <patternFill patternType="solid">
        <fgColor theme="4"/>
        <bgColor theme="4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wrapText="1"/>
    </xf>
    <xf borderId="1" fillId="0" fontId="1" numFmtId="0" xfId="0" applyBorder="1" applyFont="1"/>
    <xf borderId="1" fillId="2" fontId="1" numFmtId="0" xfId="0" applyBorder="1" applyFill="1" applyFont="1"/>
    <xf borderId="1" fillId="3" fontId="2" numFmtId="0" xfId="0" applyAlignment="1" applyBorder="1" applyFill="1" applyFont="1">
      <alignment shrinkToFit="0" wrapText="1"/>
    </xf>
    <xf borderId="1" fillId="0" fontId="2" numFmtId="0" xfId="0" applyBorder="1" applyFont="1"/>
    <xf borderId="1" fillId="3" fontId="2" numFmtId="0" xfId="0" applyBorder="1" applyFont="1"/>
    <xf borderId="1" fillId="3" fontId="1" numFmtId="0" xfId="0" applyBorder="1" applyFont="1"/>
    <xf borderId="2" fillId="3" fontId="2" numFmtId="0" xfId="0" applyBorder="1" applyFont="1"/>
    <xf borderId="2" fillId="3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2" numFmtId="0" xfId="0" applyAlignment="1" applyBorder="1" applyFont="1">
      <alignment horizontal="center"/>
    </xf>
    <xf borderId="7" fillId="0" fontId="3" numFmtId="0" xfId="0" applyAlignment="1" applyBorder="1" applyFont="1">
      <alignment horizontal="center" textRotation="90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8" fillId="0" fontId="1" numFmtId="0" xfId="0" applyBorder="1" applyFont="1"/>
    <xf borderId="7" fillId="0" fontId="5" numFmtId="0" xfId="0" applyBorder="1" applyFont="1"/>
    <xf borderId="0" fillId="0" fontId="2" numFmtId="0" xfId="0" applyAlignment="1" applyFont="1">
      <alignment readingOrder="0" shrinkToFit="0" wrapText="1"/>
    </xf>
    <xf borderId="0" fillId="0" fontId="2" numFmtId="0" xfId="0" applyFont="1"/>
    <xf borderId="9" fillId="0" fontId="5" numFmtId="0" xfId="0" applyBorder="1" applyFont="1"/>
    <xf borderId="10" fillId="0" fontId="5" numFmtId="0" xfId="0" applyBorder="1" applyFont="1"/>
    <xf borderId="10" fillId="0" fontId="2" numFmtId="0" xfId="0" applyAlignment="1" applyBorder="1" applyFont="1">
      <alignment readingOrder="0" shrinkToFit="0" wrapText="1"/>
    </xf>
    <xf borderId="10" fillId="0" fontId="2" numFmtId="0" xfId="0" applyBorder="1" applyFont="1"/>
    <xf borderId="10" fillId="0" fontId="1" numFmtId="0" xfId="0" applyBorder="1" applyFont="1"/>
    <xf borderId="11" fillId="4" fontId="6" numFmtId="0" xfId="0" applyBorder="1" applyFill="1" applyFont="1"/>
    <xf borderId="0" fillId="0" fontId="4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12" fillId="5" fontId="7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0.63"/>
    <col customWidth="1" min="2" max="3" width="8.25"/>
    <col customWidth="1" min="4" max="4" width="45.88"/>
    <col customWidth="1" min="5" max="5" width="11.63"/>
    <col customWidth="1" min="6" max="6" width="18.38"/>
    <col customWidth="1" min="7" max="7" width="30.88"/>
    <col customWidth="1" min="8" max="8" width="21.75"/>
    <col customWidth="1" min="9" max="9" width="13.13"/>
    <col customWidth="1" min="10" max="10" width="18.0"/>
    <col customWidth="1" min="11" max="26" width="10.63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3">
        <v>4.092E7</v>
      </c>
      <c r="C3" s="3"/>
      <c r="D3" s="3" t="s">
        <v>9</v>
      </c>
      <c r="E3" s="3"/>
      <c r="F3" s="3"/>
      <c r="G3" s="3"/>
      <c r="H3" s="3"/>
      <c r="I3" s="3">
        <f>B3*0.02</f>
        <v>818400</v>
      </c>
      <c r="J3" s="3">
        <f>I3*1.21</f>
        <v>990264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3">
        <v>70.0</v>
      </c>
      <c r="C4" s="3">
        <f>B3/100*70</f>
        <v>28644000</v>
      </c>
      <c r="D4" s="4">
        <f>C4/84</f>
        <v>341000</v>
      </c>
      <c r="E4" s="3">
        <f>D4*50</f>
        <v>17050000</v>
      </c>
      <c r="F4" s="3">
        <f>E4/C4*100</f>
        <v>59.52380952</v>
      </c>
      <c r="G4" s="3">
        <f>E4/B3</f>
        <v>0.4166666667</v>
      </c>
      <c r="H4" s="3">
        <f>B3*G4</f>
        <v>17050000</v>
      </c>
      <c r="I4" s="3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3">
        <v>30.0</v>
      </c>
      <c r="C5" s="3">
        <f>B3/100*30</f>
        <v>12276000</v>
      </c>
      <c r="D5" s="3"/>
      <c r="E5" s="3"/>
      <c r="F5" s="3"/>
      <c r="G5" s="3"/>
      <c r="H5" s="3"/>
      <c r="I5" s="3"/>
      <c r="J5" s="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2" t="s">
        <v>10</v>
      </c>
      <c r="J7" s="5" t="s">
        <v>11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6">
        <v>3.08E7</v>
      </c>
      <c r="C8" s="3"/>
      <c r="D8" s="3" t="s">
        <v>9</v>
      </c>
      <c r="E8" s="3"/>
      <c r="F8" s="3"/>
      <c r="G8" s="3"/>
      <c r="H8" s="3"/>
      <c r="I8" s="4">
        <f>D4-D9</f>
        <v>84333.33333</v>
      </c>
      <c r="J8" s="4">
        <f>I8*33</f>
        <v>2783000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3">
        <v>70.0</v>
      </c>
      <c r="C9" s="3">
        <f>B8/100*70</f>
        <v>21560000</v>
      </c>
      <c r="D9" s="4">
        <f>C9/84</f>
        <v>256666.6667</v>
      </c>
      <c r="E9" s="3">
        <f>D9*50</f>
        <v>12833333.33</v>
      </c>
      <c r="F9" s="3">
        <f>E9/C9*100</f>
        <v>59.52380952</v>
      </c>
      <c r="G9" s="3">
        <f>E9/B8</f>
        <v>0.4166666667</v>
      </c>
      <c r="H9" s="3">
        <f>B8*G9</f>
        <v>12833333.33</v>
      </c>
      <c r="I9" s="3"/>
      <c r="J9" s="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3">
        <v>30.0</v>
      </c>
      <c r="C10" s="3">
        <f>B8/100*30</f>
        <v>9240000</v>
      </c>
      <c r="D10" s="6" t="s">
        <v>12</v>
      </c>
      <c r="E10" s="3"/>
      <c r="F10" s="3"/>
      <c r="G10" s="3"/>
      <c r="H10" s="3"/>
      <c r="I10" s="3"/>
      <c r="J10" s="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3"/>
      <c r="E12" s="3"/>
      <c r="F12" s="6" t="s">
        <v>13</v>
      </c>
      <c r="G12" s="2" t="s">
        <v>14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7" t="s">
        <v>15</v>
      </c>
      <c r="E13" s="8">
        <v>1.170034731E7</v>
      </c>
      <c r="F13" s="3">
        <f>C4</f>
        <v>28644000</v>
      </c>
      <c r="G13" s="3">
        <f t="shared" ref="G13:G14" si="1">F13-E13</f>
        <v>16943652.69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9" t="s">
        <v>16</v>
      </c>
      <c r="E14" s="10">
        <v>1.170034731E7</v>
      </c>
      <c r="F14" s="11">
        <f>C9</f>
        <v>21560000</v>
      </c>
      <c r="G14" s="11">
        <f t="shared" si="1"/>
        <v>9859652.69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2"/>
      <c r="C15" s="13"/>
      <c r="D15" s="13"/>
      <c r="E15" s="13"/>
      <c r="F15" s="13"/>
      <c r="G15" s="13"/>
      <c r="H15" s="14" t="s">
        <v>17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5" t="s">
        <v>18</v>
      </c>
      <c r="D16" s="16" t="s">
        <v>19</v>
      </c>
      <c r="E16" s="1">
        <f t="shared" ref="E16:E17" si="2">G13</f>
        <v>16943652.69</v>
      </c>
      <c r="F16" s="1"/>
      <c r="G16" s="17" t="s">
        <v>20</v>
      </c>
      <c r="H16" s="18">
        <f>E13+E16+C5+J3+J8</f>
        <v>44693264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9"/>
      <c r="D17" s="16" t="s">
        <v>21</v>
      </c>
      <c r="E17" s="1">
        <f t="shared" si="2"/>
        <v>9859652.69</v>
      </c>
      <c r="F17" s="1"/>
      <c r="H17" s="18">
        <f>E13+E17+C10+J3+J8</f>
        <v>34573264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9"/>
      <c r="D18" s="20" t="s">
        <v>22</v>
      </c>
      <c r="E18" s="21">
        <f t="shared" ref="E18:E19" si="3">E16*0.4</f>
        <v>6777461.076</v>
      </c>
      <c r="F18" s="1"/>
      <c r="H18" s="18">
        <f>E13+E18+C5+J3+J8</f>
        <v>34527072.39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06.5" customHeight="1">
      <c r="A19" s="1"/>
      <c r="B19" s="22"/>
      <c r="C19" s="23"/>
      <c r="D19" s="24" t="s">
        <v>23</v>
      </c>
      <c r="E19" s="25">
        <f t="shared" si="3"/>
        <v>3943861.076</v>
      </c>
      <c r="F19" s="26"/>
      <c r="G19" s="23"/>
      <c r="H19" s="27">
        <f>E13+E19+C5+J3+J8</f>
        <v>31693472.39</v>
      </c>
      <c r="I19" s="28" t="s">
        <v>24</v>
      </c>
      <c r="J19" s="2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30" t="s">
        <v>25</v>
      </c>
      <c r="E20" s="30">
        <f>E19+C5+I3+J3</f>
        <v>18028525.08</v>
      </c>
      <c r="F20" s="21" t="s">
        <v>26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16:C19"/>
    <mergeCell ref="G16:G19"/>
  </mergeCells>
  <printOptions/>
  <pageMargins bottom="0.75" footer="0.0" header="0.0" left="0.7" right="0.7" top="0.75"/>
  <pageSetup orientation="landscape"/>
  <drawing r:id="rId1"/>
</worksheet>
</file>